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log-my.sharepoint.com/personal/omar_fahmy_analog_com/Documents/Personal Stuff/3omra/3omra 2026/"/>
    </mc:Choice>
  </mc:AlternateContent>
  <xr:revisionPtr revIDLastSave="2" documentId="8_{3C87AFA1-B5D8-4C9B-91CE-44B58F7F04FA}" xr6:coauthVersionLast="47" xr6:coauthVersionMax="47" xr10:uidLastSave="{B6F746B5-5D5E-4C69-AA26-F053A673F5F7}"/>
  <bookViews>
    <workbookView xWindow="-108" yWindow="-108" windowWidth="23256" windowHeight="13896" xr2:uid="{E06925C1-DF0E-4B81-8A8E-2973644C7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1" l="1"/>
  <c r="R11" i="1"/>
  <c r="M10" i="1"/>
  <c r="R9" i="1"/>
  <c r="R8" i="1"/>
  <c r="R7" i="1"/>
  <c r="R6" i="1"/>
  <c r="M9" i="1"/>
  <c r="M8" i="1"/>
  <c r="M7" i="1"/>
  <c r="M6" i="1"/>
  <c r="E7" i="1"/>
  <c r="D7" i="1"/>
  <c r="C7" i="1"/>
  <c r="E3" i="1"/>
  <c r="D3" i="1"/>
  <c r="C3" i="1"/>
</calcChain>
</file>

<file path=xl/sharedStrings.xml><?xml version="1.0" encoding="utf-8"?>
<sst xmlns="http://schemas.openxmlformats.org/spreadsheetml/2006/main" count="63" uniqueCount="38">
  <si>
    <t>House 1</t>
  </si>
  <si>
    <t>House 2</t>
  </si>
  <si>
    <t>House 3</t>
  </si>
  <si>
    <t>Monthly Rent</t>
  </si>
  <si>
    <t>Monthly ACs Cost</t>
  </si>
  <si>
    <t>Distance to Work</t>
  </si>
  <si>
    <t>15 km</t>
  </si>
  <si>
    <t>20 km</t>
  </si>
  <si>
    <t>Additional cost due to distance to work</t>
  </si>
  <si>
    <t>Total Cost</t>
  </si>
  <si>
    <t>Tuesday</t>
  </si>
  <si>
    <t>Wednesday</t>
  </si>
  <si>
    <t>Thursday</t>
  </si>
  <si>
    <t>Friday</t>
  </si>
  <si>
    <t>Saturday</t>
  </si>
  <si>
    <t>Sunday</t>
  </si>
  <si>
    <t>Madinah</t>
  </si>
  <si>
    <t>Makkah</t>
  </si>
  <si>
    <t>3omra</t>
  </si>
  <si>
    <t>Scenario 2</t>
  </si>
  <si>
    <t>Jeddah</t>
  </si>
  <si>
    <t>Day</t>
  </si>
  <si>
    <t>Destination</t>
  </si>
  <si>
    <t>Plan</t>
  </si>
  <si>
    <t>Salah</t>
  </si>
  <si>
    <t>Scenario 1 (Current)</t>
  </si>
  <si>
    <t>Expenses</t>
  </si>
  <si>
    <t>Madinah Hotel</t>
  </si>
  <si>
    <t>Taxi from Khaled's house to Kaaba</t>
  </si>
  <si>
    <t>Dates</t>
  </si>
  <si>
    <t>Breakfast in Madinah</t>
  </si>
  <si>
    <t>Expenses (per person if applicable)</t>
  </si>
  <si>
    <t>Lunch in Madinah</t>
  </si>
  <si>
    <t>Dinner</t>
  </si>
  <si>
    <t>Ride from hotel in Madinah to Qibaa Mosque</t>
  </si>
  <si>
    <t>Lunch in Makkah</t>
  </si>
  <si>
    <t>Dinner in Makkah</t>
  </si>
  <si>
    <t>Breakfast in Makkah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</si>
</sst>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AR]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3412-B71E-475B-9667-2DC098F06F9C}">
  <dimension ref="B2:R84"/>
  <sheetViews>
    <sheetView tabSelected="1" topLeftCell="C1" workbookViewId="0">
      <selection activeCell="P22" sqref="P22"/>
    </sheetView>
  </sheetViews>
  <sheetFormatPr defaultRowHeight="14.4" x14ac:dyDescent="0.3"/>
  <cols>
    <col min="2" max="2" width="23.44140625" style="1" customWidth="1"/>
    <col min="3" max="3" width="12" style="2" bestFit="1" customWidth="1"/>
    <col min="4" max="4" width="7.5546875" style="2" bestFit="1" customWidth="1"/>
    <col min="5" max="5" width="12" style="2" bestFit="1" customWidth="1"/>
    <col min="8" max="8" width="36.33203125" style="2" bestFit="1" customWidth="1"/>
    <col min="9" max="9" width="10.109375" bestFit="1" customWidth="1"/>
    <col min="10" max="10" width="10.33203125" style="2" bestFit="1" customWidth="1"/>
    <col min="11" max="11" width="10.5546875" style="2" bestFit="1" customWidth="1"/>
    <col min="12" max="12" width="6.21875" style="2" bestFit="1" customWidth="1"/>
    <col min="13" max="13" width="10.109375" style="2" bestFit="1" customWidth="1"/>
    <col min="16" max="16" width="10.33203125" style="2" bestFit="1" customWidth="1"/>
    <col min="17" max="17" width="10.5546875" style="2" bestFit="1" customWidth="1"/>
    <col min="18" max="18" width="10.109375" style="2" bestFit="1" customWidth="1"/>
  </cols>
  <sheetData>
    <row r="2" spans="2:18" s="1" customFormat="1" x14ac:dyDescent="0.3">
      <c r="C2" s="1" t="s">
        <v>0</v>
      </c>
      <c r="D2" s="1" t="s">
        <v>1</v>
      </c>
      <c r="E2" s="1" t="s">
        <v>2</v>
      </c>
    </row>
    <row r="3" spans="2:18" x14ac:dyDescent="0.3">
      <c r="B3" s="1" t="s">
        <v>3</v>
      </c>
      <c r="C3" s="2">
        <f>32000/12</f>
        <v>2666.6666666666665</v>
      </c>
      <c r="D3" s="2">
        <f>30000/12</f>
        <v>2500</v>
      </c>
      <c r="E3" s="2">
        <f>25000/12</f>
        <v>2083.3333333333335</v>
      </c>
    </row>
    <row r="4" spans="2:18" x14ac:dyDescent="0.3">
      <c r="B4" s="1" t="s">
        <v>4</v>
      </c>
      <c r="J4" s="6" t="s">
        <v>25</v>
      </c>
      <c r="K4" s="6"/>
      <c r="L4" s="6"/>
      <c r="M4" s="1"/>
      <c r="O4" s="6" t="s">
        <v>19</v>
      </c>
      <c r="P4" s="6"/>
      <c r="Q4" s="6"/>
    </row>
    <row r="5" spans="2:18" x14ac:dyDescent="0.3">
      <c r="B5" s="1" t="s">
        <v>5</v>
      </c>
      <c r="C5" s="2" t="s">
        <v>6</v>
      </c>
      <c r="D5" s="2" t="s">
        <v>6</v>
      </c>
      <c r="E5" s="2" t="s">
        <v>7</v>
      </c>
      <c r="J5" s="1" t="s">
        <v>21</v>
      </c>
      <c r="K5" s="1" t="s">
        <v>22</v>
      </c>
      <c r="L5" s="1" t="s">
        <v>23</v>
      </c>
      <c r="M5" s="1" t="s">
        <v>26</v>
      </c>
      <c r="O5" s="1" t="s">
        <v>21</v>
      </c>
      <c r="P5" s="1" t="s">
        <v>22</v>
      </c>
      <c r="Q5" s="1" t="s">
        <v>23</v>
      </c>
      <c r="R5" s="1" t="s">
        <v>26</v>
      </c>
    </row>
    <row r="6" spans="2:18" ht="28.8" x14ac:dyDescent="0.3">
      <c r="B6" s="3" t="s">
        <v>8</v>
      </c>
      <c r="C6" s="2">
        <v>0</v>
      </c>
      <c r="D6" s="2">
        <v>0</v>
      </c>
      <c r="E6" s="2">
        <v>40</v>
      </c>
      <c r="J6" s="2" t="s">
        <v>10</v>
      </c>
      <c r="K6" s="2" t="s">
        <v>16</v>
      </c>
      <c r="M6" s="5">
        <f>I17+I21*2+I22*2</f>
        <v>490</v>
      </c>
      <c r="O6" s="2" t="s">
        <v>10</v>
      </c>
      <c r="P6" s="2" t="s">
        <v>16</v>
      </c>
      <c r="Q6" s="2" t="s">
        <v>24</v>
      </c>
      <c r="R6" s="5">
        <f>I17+I21*2+I22*2</f>
        <v>490</v>
      </c>
    </row>
    <row r="7" spans="2:18" x14ac:dyDescent="0.3">
      <c r="B7" s="1" t="s">
        <v>9</v>
      </c>
      <c r="C7" s="2">
        <f>C3+C6</f>
        <v>2666.6666666666665</v>
      </c>
      <c r="D7" s="2">
        <f>D3+D6</f>
        <v>2500</v>
      </c>
      <c r="E7" s="2">
        <f>E3+E6</f>
        <v>2123.3333333333335</v>
      </c>
      <c r="J7" s="2" t="s">
        <v>11</v>
      </c>
      <c r="K7" s="2" t="s">
        <v>16</v>
      </c>
      <c r="M7" s="5">
        <f>I20*2+I23*2+I21*2+I22*2</f>
        <v>250</v>
      </c>
      <c r="O7" s="2" t="s">
        <v>11</v>
      </c>
      <c r="P7" s="2" t="s">
        <v>16</v>
      </c>
      <c r="Q7" s="2" t="s">
        <v>24</v>
      </c>
      <c r="R7" s="5">
        <f>I20*2+I23*2+I21*2+I22*2</f>
        <v>250</v>
      </c>
    </row>
    <row r="8" spans="2:18" x14ac:dyDescent="0.3">
      <c r="J8" s="2" t="s">
        <v>12</v>
      </c>
      <c r="K8" s="2" t="s">
        <v>17</v>
      </c>
      <c r="L8" s="2" t="s">
        <v>18</v>
      </c>
      <c r="M8" s="5">
        <f>I20*2+I24*2+I25*2</f>
        <v>210</v>
      </c>
      <c r="O8" s="2" t="s">
        <v>12</v>
      </c>
      <c r="P8" s="2" t="s">
        <v>17</v>
      </c>
      <c r="Q8" s="2" t="s">
        <v>18</v>
      </c>
      <c r="R8" s="5">
        <f>I20*2+I24*2+I25*2</f>
        <v>210</v>
      </c>
    </row>
    <row r="9" spans="2:18" x14ac:dyDescent="0.3">
      <c r="J9" s="2" t="s">
        <v>13</v>
      </c>
      <c r="K9" s="2" t="s">
        <v>17</v>
      </c>
      <c r="L9" s="2" t="s">
        <v>18</v>
      </c>
      <c r="M9" s="5">
        <f>I24*2+I25*2</f>
        <v>170</v>
      </c>
      <c r="O9" s="2" t="s">
        <v>13</v>
      </c>
      <c r="P9" s="2" t="s">
        <v>17</v>
      </c>
      <c r="Q9" s="2" t="s">
        <v>18</v>
      </c>
      <c r="R9" s="5">
        <f>I24*2+I25*2</f>
        <v>170</v>
      </c>
    </row>
    <row r="10" spans="2:18" x14ac:dyDescent="0.3">
      <c r="J10" s="2" t="s">
        <v>14</v>
      </c>
      <c r="K10" s="2" t="s">
        <v>17</v>
      </c>
      <c r="L10" s="2" t="s">
        <v>24</v>
      </c>
      <c r="M10" s="5">
        <f>I24*2+I25*2+I19*3</f>
        <v>230</v>
      </c>
      <c r="O10" s="2" t="s">
        <v>14</v>
      </c>
      <c r="P10" s="2" t="s">
        <v>17</v>
      </c>
      <c r="Q10" s="2" t="s">
        <v>20</v>
      </c>
      <c r="R10" s="5">
        <f>I24*2+I25*2+40</f>
        <v>210</v>
      </c>
    </row>
    <row r="11" spans="2:18" x14ac:dyDescent="0.3">
      <c r="O11" s="2" t="s">
        <v>15</v>
      </c>
      <c r="P11" s="2" t="s">
        <v>17</v>
      </c>
      <c r="Q11" s="2" t="s">
        <v>24</v>
      </c>
      <c r="R11" s="5">
        <f>I26*2+I24*2+I25*2+I19*3</f>
        <v>270</v>
      </c>
    </row>
    <row r="16" spans="2:18" x14ac:dyDescent="0.3">
      <c r="H16" s="6" t="s">
        <v>31</v>
      </c>
      <c r="I16" s="6"/>
    </row>
    <row r="17" spans="8:9" x14ac:dyDescent="0.3">
      <c r="H17" s="2" t="s">
        <v>27</v>
      </c>
      <c r="I17" s="4">
        <v>340</v>
      </c>
    </row>
    <row r="18" spans="8:9" x14ac:dyDescent="0.3">
      <c r="H18" s="2" t="s">
        <v>28</v>
      </c>
      <c r="I18" s="4">
        <v>30</v>
      </c>
    </row>
    <row r="19" spans="8:9" x14ac:dyDescent="0.3">
      <c r="H19" s="2" t="s">
        <v>29</v>
      </c>
      <c r="I19" s="4">
        <v>20</v>
      </c>
    </row>
    <row r="20" spans="8:9" x14ac:dyDescent="0.3">
      <c r="H20" s="2" t="s">
        <v>30</v>
      </c>
      <c r="I20" s="4">
        <v>20</v>
      </c>
    </row>
    <row r="21" spans="8:9" x14ac:dyDescent="0.3">
      <c r="H21" s="2" t="s">
        <v>32</v>
      </c>
      <c r="I21" s="4">
        <v>35</v>
      </c>
    </row>
    <row r="22" spans="8:9" x14ac:dyDescent="0.3">
      <c r="H22" s="2" t="s">
        <v>33</v>
      </c>
      <c r="I22" s="4">
        <v>40</v>
      </c>
    </row>
    <row r="23" spans="8:9" x14ac:dyDescent="0.3">
      <c r="H23" s="2" t="s">
        <v>34</v>
      </c>
      <c r="I23" s="4">
        <v>30</v>
      </c>
    </row>
    <row r="24" spans="8:9" x14ac:dyDescent="0.3">
      <c r="H24" s="2" t="s">
        <v>35</v>
      </c>
      <c r="I24" s="4">
        <v>40</v>
      </c>
    </row>
    <row r="25" spans="8:9" x14ac:dyDescent="0.3">
      <c r="H25" s="2" t="s">
        <v>36</v>
      </c>
      <c r="I25" s="4">
        <v>45</v>
      </c>
    </row>
    <row r="26" spans="8:9" x14ac:dyDescent="0.3">
      <c r="H26" s="2" t="s">
        <v>37</v>
      </c>
      <c r="I26" s="4">
        <v>20</v>
      </c>
    </row>
    <row r="27" spans="8:9" x14ac:dyDescent="0.3">
      <c r="I27" s="4"/>
    </row>
    <row r="28" spans="8:9" x14ac:dyDescent="0.3">
      <c r="I28" s="4"/>
    </row>
    <row r="29" spans="8:9" x14ac:dyDescent="0.3">
      <c r="I29" s="4"/>
    </row>
    <row r="30" spans="8:9" x14ac:dyDescent="0.3">
      <c r="I30" s="4"/>
    </row>
    <row r="31" spans="8:9" x14ac:dyDescent="0.3">
      <c r="I31" s="4"/>
    </row>
    <row r="32" spans="8:9" x14ac:dyDescent="0.3">
      <c r="I32" s="4"/>
    </row>
    <row r="33" spans="9:9" x14ac:dyDescent="0.3">
      <c r="I33" s="4"/>
    </row>
    <row r="34" spans="9:9" x14ac:dyDescent="0.3">
      <c r="I34" s="4"/>
    </row>
    <row r="35" spans="9:9" x14ac:dyDescent="0.3">
      <c r="I35" s="4"/>
    </row>
    <row r="36" spans="9:9" x14ac:dyDescent="0.3">
      <c r="I36" s="4"/>
    </row>
    <row r="37" spans="9:9" x14ac:dyDescent="0.3">
      <c r="I37" s="4"/>
    </row>
    <row r="38" spans="9:9" x14ac:dyDescent="0.3">
      <c r="I38" s="4"/>
    </row>
    <row r="39" spans="9:9" x14ac:dyDescent="0.3">
      <c r="I39" s="4"/>
    </row>
    <row r="40" spans="9:9" x14ac:dyDescent="0.3">
      <c r="I40" s="4"/>
    </row>
    <row r="41" spans="9:9" x14ac:dyDescent="0.3">
      <c r="I41" s="4"/>
    </row>
    <row r="42" spans="9:9" x14ac:dyDescent="0.3">
      <c r="I42" s="4"/>
    </row>
    <row r="43" spans="9:9" x14ac:dyDescent="0.3">
      <c r="I43" s="4"/>
    </row>
    <row r="44" spans="9:9" x14ac:dyDescent="0.3">
      <c r="I44" s="4"/>
    </row>
    <row r="45" spans="9:9" x14ac:dyDescent="0.3">
      <c r="I45" s="4"/>
    </row>
    <row r="46" spans="9:9" x14ac:dyDescent="0.3">
      <c r="I46" s="4"/>
    </row>
    <row r="47" spans="9:9" x14ac:dyDescent="0.3">
      <c r="I47" s="4"/>
    </row>
    <row r="48" spans="9:9" x14ac:dyDescent="0.3">
      <c r="I48" s="4"/>
    </row>
    <row r="49" spans="9:9" x14ac:dyDescent="0.3">
      <c r="I49" s="4"/>
    </row>
    <row r="50" spans="9:9" x14ac:dyDescent="0.3">
      <c r="I50" s="4"/>
    </row>
    <row r="51" spans="9:9" x14ac:dyDescent="0.3">
      <c r="I51" s="4"/>
    </row>
    <row r="52" spans="9:9" x14ac:dyDescent="0.3">
      <c r="I52" s="4"/>
    </row>
    <row r="53" spans="9:9" x14ac:dyDescent="0.3">
      <c r="I53" s="4"/>
    </row>
    <row r="54" spans="9:9" x14ac:dyDescent="0.3">
      <c r="I54" s="4"/>
    </row>
    <row r="55" spans="9:9" x14ac:dyDescent="0.3">
      <c r="I55" s="4"/>
    </row>
    <row r="56" spans="9:9" x14ac:dyDescent="0.3">
      <c r="I56" s="4"/>
    </row>
    <row r="57" spans="9:9" x14ac:dyDescent="0.3">
      <c r="I57" s="4"/>
    </row>
    <row r="58" spans="9:9" x14ac:dyDescent="0.3">
      <c r="I58" s="4"/>
    </row>
    <row r="59" spans="9:9" x14ac:dyDescent="0.3">
      <c r="I59" s="4"/>
    </row>
    <row r="60" spans="9:9" x14ac:dyDescent="0.3">
      <c r="I60" s="4"/>
    </row>
    <row r="61" spans="9:9" x14ac:dyDescent="0.3">
      <c r="I61" s="4"/>
    </row>
    <row r="62" spans="9:9" x14ac:dyDescent="0.3">
      <c r="I62" s="4"/>
    </row>
    <row r="63" spans="9:9" x14ac:dyDescent="0.3">
      <c r="I63" s="4"/>
    </row>
    <row r="64" spans="9:9" x14ac:dyDescent="0.3">
      <c r="I64" s="4"/>
    </row>
    <row r="65" spans="9:9" x14ac:dyDescent="0.3">
      <c r="I65" s="4"/>
    </row>
    <row r="66" spans="9:9" x14ac:dyDescent="0.3">
      <c r="I66" s="4"/>
    </row>
    <row r="67" spans="9:9" x14ac:dyDescent="0.3">
      <c r="I67" s="4"/>
    </row>
    <row r="68" spans="9:9" x14ac:dyDescent="0.3">
      <c r="I68" s="4"/>
    </row>
    <row r="69" spans="9:9" x14ac:dyDescent="0.3">
      <c r="I69" s="4"/>
    </row>
    <row r="70" spans="9:9" x14ac:dyDescent="0.3">
      <c r="I70" s="4"/>
    </row>
    <row r="71" spans="9:9" x14ac:dyDescent="0.3">
      <c r="I71" s="4"/>
    </row>
    <row r="72" spans="9:9" x14ac:dyDescent="0.3">
      <c r="I72" s="4"/>
    </row>
    <row r="73" spans="9:9" x14ac:dyDescent="0.3">
      <c r="I73" s="4"/>
    </row>
    <row r="74" spans="9:9" x14ac:dyDescent="0.3">
      <c r="I74" s="4"/>
    </row>
    <row r="75" spans="9:9" x14ac:dyDescent="0.3">
      <c r="I75" s="4"/>
    </row>
    <row r="76" spans="9:9" x14ac:dyDescent="0.3">
      <c r="I76" s="4"/>
    </row>
    <row r="77" spans="9:9" x14ac:dyDescent="0.3">
      <c r="I77" s="4"/>
    </row>
    <row r="78" spans="9:9" x14ac:dyDescent="0.3">
      <c r="I78" s="4"/>
    </row>
    <row r="79" spans="9:9" x14ac:dyDescent="0.3">
      <c r="I79" s="4"/>
    </row>
    <row r="80" spans="9:9" x14ac:dyDescent="0.3">
      <c r="I80" s="4"/>
    </row>
    <row r="81" spans="9:9" x14ac:dyDescent="0.3">
      <c r="I81" s="4"/>
    </row>
    <row r="82" spans="9:9" x14ac:dyDescent="0.3">
      <c r="I82" s="4"/>
    </row>
    <row r="83" spans="9:9" x14ac:dyDescent="0.3">
      <c r="I83" s="4"/>
    </row>
    <row r="84" spans="9:9" x14ac:dyDescent="0.3">
      <c r="I84" s="4"/>
    </row>
  </sheetData>
  <mergeCells count="3">
    <mergeCell ref="J4:L4"/>
    <mergeCell ref="O4:Q4"/>
    <mergeCell ref="H16:I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2026-06-26T15:38:55Z</dcterms:created>
  <dcterms:modified xsi:type="dcterms:W3CDTF">2026-06-26T19:01:34Z</dcterms:modified>
</cp:coreProperties>
</file>