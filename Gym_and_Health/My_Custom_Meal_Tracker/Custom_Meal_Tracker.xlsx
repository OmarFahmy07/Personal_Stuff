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Personal Stuff\Gym &amp; Health\My_Custom_Meal_Tracker\"/>
    </mc:Choice>
  </mc:AlternateContent>
  <xr:revisionPtr revIDLastSave="0" documentId="13_ncr:1_{F769D04B-A263-49C7-91B5-A4176B329704}" xr6:coauthVersionLast="47" xr6:coauthVersionMax="47" xr10:uidLastSave="{00000000-0000-0000-0000-000000000000}"/>
  <bookViews>
    <workbookView xWindow="-108" yWindow="-108" windowWidth="23256" windowHeight="13896" firstSheet="1" activeTab="4" xr2:uid="{00000000-000D-0000-FFFF-FFFF00000000}"/>
  </bookViews>
  <sheets>
    <sheet name="Food Database" sheetId="1" r:id="rId1"/>
    <sheet name="Meal Tracker (Army)" sheetId="5" r:id="rId2"/>
    <sheet name="Meal Tracker (Normal)" sheetId="6" r:id="rId3"/>
    <sheet name="Meal Tracker - Nouran" sheetId="8" r:id="rId4"/>
    <sheet name="Trying to reduce cost" sheetId="9" r:id="rId5"/>
  </sheet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71" i="9" l="1"/>
  <c r="E71" i="9"/>
  <c r="D71" i="9"/>
  <c r="C71" i="9"/>
  <c r="F70" i="9"/>
  <c r="E70" i="9"/>
  <c r="D70" i="9"/>
  <c r="C70" i="9"/>
  <c r="F69" i="9"/>
  <c r="E69" i="9"/>
  <c r="D69" i="9"/>
  <c r="C69" i="9"/>
  <c r="F68" i="9"/>
  <c r="E68" i="9"/>
  <c r="D68" i="9"/>
  <c r="C68" i="9"/>
  <c r="F67" i="9"/>
  <c r="E67" i="9"/>
  <c r="D67" i="9"/>
  <c r="C67" i="9"/>
  <c r="F66" i="9"/>
  <c r="E66" i="9"/>
  <c r="D66" i="9"/>
  <c r="C66" i="9"/>
  <c r="F65" i="9"/>
  <c r="E65" i="9"/>
  <c r="D65" i="9"/>
  <c r="C65" i="9"/>
  <c r="F64" i="9"/>
  <c r="E64" i="9"/>
  <c r="D64" i="9"/>
  <c r="C64" i="9"/>
  <c r="F63" i="9"/>
  <c r="E63" i="9"/>
  <c r="D63" i="9"/>
  <c r="C63" i="9"/>
  <c r="F62" i="9"/>
  <c r="E62" i="9"/>
  <c r="D62" i="9"/>
  <c r="C62" i="9"/>
  <c r="F61" i="9"/>
  <c r="E61" i="9"/>
  <c r="D61" i="9"/>
  <c r="C61" i="9"/>
  <c r="F60" i="9"/>
  <c r="E60" i="9"/>
  <c r="D60" i="9"/>
  <c r="C60" i="9"/>
  <c r="F59" i="9"/>
  <c r="E59" i="9"/>
  <c r="D59" i="9"/>
  <c r="C59" i="9"/>
  <c r="F58" i="9"/>
  <c r="E58" i="9"/>
  <c r="D58" i="9"/>
  <c r="C58" i="9"/>
  <c r="F57" i="9"/>
  <c r="E57" i="9"/>
  <c r="D57" i="9"/>
  <c r="C57" i="9"/>
  <c r="F56" i="9"/>
  <c r="E56" i="9"/>
  <c r="D56" i="9"/>
  <c r="C56" i="9"/>
  <c r="F55" i="9"/>
  <c r="E55" i="9"/>
  <c r="D55" i="9"/>
  <c r="C55" i="9"/>
  <c r="F54" i="9"/>
  <c r="E54" i="9"/>
  <c r="D54" i="9"/>
  <c r="C54" i="9"/>
  <c r="F53" i="9"/>
  <c r="E53" i="9"/>
  <c r="D53" i="9"/>
  <c r="C53" i="9"/>
  <c r="F52" i="9"/>
  <c r="E52" i="9"/>
  <c r="D52" i="9"/>
  <c r="C52" i="9"/>
  <c r="F51" i="9"/>
  <c r="E51" i="9"/>
  <c r="D51" i="9"/>
  <c r="C51" i="9"/>
  <c r="F50" i="9"/>
  <c r="E50" i="9"/>
  <c r="D50" i="9"/>
  <c r="C50" i="9"/>
  <c r="F49" i="9"/>
  <c r="E49" i="9"/>
  <c r="D49" i="9"/>
  <c r="C49" i="9"/>
  <c r="F48" i="9"/>
  <c r="E48" i="9"/>
  <c r="D48" i="9"/>
  <c r="C48" i="9"/>
  <c r="F47" i="9"/>
  <c r="E47" i="9"/>
  <c r="D47" i="9"/>
  <c r="C47" i="9"/>
  <c r="F46" i="9"/>
  <c r="E46" i="9"/>
  <c r="D46" i="9"/>
  <c r="C46" i="9"/>
  <c r="F45" i="9"/>
  <c r="E45" i="9"/>
  <c r="D45" i="9"/>
  <c r="C45" i="9"/>
  <c r="F44" i="9"/>
  <c r="E44" i="9"/>
  <c r="D44" i="9"/>
  <c r="C44" i="9"/>
  <c r="F43" i="9"/>
  <c r="E43" i="9"/>
  <c r="D43" i="9"/>
  <c r="C43" i="9"/>
  <c r="F42" i="9"/>
  <c r="E42" i="9"/>
  <c r="D42" i="9"/>
  <c r="C42" i="9"/>
  <c r="F41" i="9"/>
  <c r="E41" i="9"/>
  <c r="D41" i="9"/>
  <c r="C41" i="9"/>
  <c r="F40" i="9"/>
  <c r="E40" i="9"/>
  <c r="D40" i="9"/>
  <c r="C40" i="9"/>
  <c r="F39" i="9"/>
  <c r="E39" i="9"/>
  <c r="D39" i="9"/>
  <c r="C39" i="9"/>
  <c r="F38" i="9"/>
  <c r="E38" i="9"/>
  <c r="D38" i="9"/>
  <c r="C38" i="9"/>
  <c r="F37" i="9"/>
  <c r="E37" i="9"/>
  <c r="D37" i="9"/>
  <c r="C37" i="9"/>
  <c r="F36" i="9"/>
  <c r="E36" i="9"/>
  <c r="D36" i="9"/>
  <c r="C36" i="9"/>
  <c r="F35" i="9"/>
  <c r="E35" i="9"/>
  <c r="D35" i="9"/>
  <c r="C35" i="9"/>
  <c r="F34" i="9"/>
  <c r="E34" i="9"/>
  <c r="D34" i="9"/>
  <c r="C34" i="9"/>
  <c r="F33" i="9"/>
  <c r="E33" i="9"/>
  <c r="D33" i="9"/>
  <c r="C33" i="9"/>
  <c r="F32" i="9"/>
  <c r="E32" i="9"/>
  <c r="D32" i="9"/>
  <c r="C32" i="9"/>
  <c r="F31" i="9"/>
  <c r="E31" i="9"/>
  <c r="D31" i="9"/>
  <c r="C31" i="9"/>
  <c r="F30" i="9"/>
  <c r="E30" i="9"/>
  <c r="D30" i="9"/>
  <c r="C30" i="9"/>
  <c r="F29" i="9"/>
  <c r="E29" i="9"/>
  <c r="D29" i="9"/>
  <c r="C29" i="9"/>
  <c r="F28" i="9"/>
  <c r="E28" i="9"/>
  <c r="D28" i="9"/>
  <c r="C28" i="9"/>
  <c r="F27" i="9"/>
  <c r="E27" i="9"/>
  <c r="D27" i="9"/>
  <c r="C27" i="9"/>
  <c r="F26" i="9"/>
  <c r="E26" i="9"/>
  <c r="D26" i="9"/>
  <c r="C26" i="9"/>
  <c r="F25" i="9"/>
  <c r="E25" i="9"/>
  <c r="D25" i="9"/>
  <c r="C25" i="9"/>
  <c r="F24" i="9"/>
  <c r="E24" i="9"/>
  <c r="D24" i="9"/>
  <c r="C24" i="9"/>
  <c r="F23" i="9"/>
  <c r="E23" i="9"/>
  <c r="D23" i="9"/>
  <c r="C23" i="9"/>
  <c r="F22" i="9"/>
  <c r="E22" i="9"/>
  <c r="D22" i="9"/>
  <c r="C22" i="9"/>
  <c r="F21" i="9"/>
  <c r="E21" i="9"/>
  <c r="D21" i="9"/>
  <c r="C21" i="9"/>
  <c r="F20" i="9"/>
  <c r="E20" i="9"/>
  <c r="D20" i="9"/>
  <c r="C20" i="9"/>
  <c r="F19" i="9"/>
  <c r="E19" i="9"/>
  <c r="B19" i="9"/>
  <c r="D19" i="9" s="1"/>
  <c r="B18" i="9"/>
  <c r="F18" i="9" s="1"/>
  <c r="F17" i="9"/>
  <c r="E17" i="9"/>
  <c r="D17" i="9"/>
  <c r="C17" i="9"/>
  <c r="F16" i="9"/>
  <c r="E16" i="9"/>
  <c r="D16" i="9"/>
  <c r="C16" i="9"/>
  <c r="F15" i="9"/>
  <c r="E15" i="9"/>
  <c r="D15" i="9"/>
  <c r="C15" i="9"/>
  <c r="F14" i="9"/>
  <c r="E14" i="9"/>
  <c r="D14" i="9"/>
  <c r="C14" i="9"/>
  <c r="F13" i="9"/>
  <c r="E13" i="9"/>
  <c r="D13" i="9"/>
  <c r="C13" i="9"/>
  <c r="F12" i="9"/>
  <c r="E12" i="9"/>
  <c r="D12" i="9"/>
  <c r="C12" i="9"/>
  <c r="B11" i="9"/>
  <c r="F11" i="9" s="1"/>
  <c r="F10" i="9"/>
  <c r="E10" i="9"/>
  <c r="D10" i="9"/>
  <c r="C10" i="9"/>
  <c r="F9" i="9"/>
  <c r="E9" i="9"/>
  <c r="D9" i="9"/>
  <c r="C9" i="9"/>
  <c r="F8" i="9"/>
  <c r="E8" i="9"/>
  <c r="D8" i="9"/>
  <c r="C8" i="9"/>
  <c r="F7" i="9"/>
  <c r="E7" i="9"/>
  <c r="D7" i="9"/>
  <c r="C7" i="9"/>
  <c r="F6" i="9"/>
  <c r="E6" i="9"/>
  <c r="D6" i="9"/>
  <c r="C6" i="9"/>
  <c r="F5" i="9"/>
  <c r="E5" i="9"/>
  <c r="D5" i="9"/>
  <c r="C5" i="9"/>
  <c r="F4" i="9"/>
  <c r="E4" i="9"/>
  <c r="D4" i="9"/>
  <c r="C4" i="9"/>
  <c r="F3" i="9"/>
  <c r="E3" i="9"/>
  <c r="D3" i="9"/>
  <c r="C3" i="9"/>
  <c r="F2" i="9"/>
  <c r="E2" i="9"/>
  <c r="D2" i="9"/>
  <c r="C2" i="9"/>
  <c r="N10" i="9" l="1"/>
  <c r="D11" i="9"/>
  <c r="L10" i="9" s="1"/>
  <c r="C18" i="9"/>
  <c r="D18" i="9"/>
  <c r="E18" i="9"/>
  <c r="C11" i="9"/>
  <c r="K10" i="9" s="1"/>
  <c r="E11" i="9"/>
  <c r="M10" i="9" s="1"/>
  <c r="C19" i="9"/>
  <c r="B14" i="8"/>
  <c r="B19" i="6"/>
  <c r="B18" i="6"/>
  <c r="B3" i="8"/>
  <c r="F14" i="8"/>
  <c r="B13" i="8"/>
  <c r="D18" i="6"/>
  <c r="B11" i="6"/>
  <c r="D16" i="6"/>
  <c r="D54" i="1"/>
  <c r="C54" i="1"/>
  <c r="B54" i="1"/>
  <c r="F3" i="8"/>
  <c r="F2" i="8"/>
  <c r="E2" i="8"/>
  <c r="D2" i="8"/>
  <c r="C2" i="8"/>
  <c r="F71" i="8"/>
  <c r="E71" i="8"/>
  <c r="D71" i="8"/>
  <c r="C71" i="8"/>
  <c r="F70" i="8"/>
  <c r="E70" i="8"/>
  <c r="D70" i="8"/>
  <c r="C70" i="8"/>
  <c r="F69" i="8"/>
  <c r="E69" i="8"/>
  <c r="D69" i="8"/>
  <c r="C69" i="8"/>
  <c r="F68" i="8"/>
  <c r="E68" i="8"/>
  <c r="D68" i="8"/>
  <c r="C68" i="8"/>
  <c r="F67" i="8"/>
  <c r="E67" i="8"/>
  <c r="D67" i="8"/>
  <c r="C67" i="8"/>
  <c r="F66" i="8"/>
  <c r="E66" i="8"/>
  <c r="D66" i="8"/>
  <c r="C66" i="8"/>
  <c r="F65" i="8"/>
  <c r="E65" i="8"/>
  <c r="D65" i="8"/>
  <c r="C65" i="8"/>
  <c r="F64" i="8"/>
  <c r="E64" i="8"/>
  <c r="D64" i="8"/>
  <c r="C64" i="8"/>
  <c r="F63" i="8"/>
  <c r="E63" i="8"/>
  <c r="D63" i="8"/>
  <c r="C63" i="8"/>
  <c r="F62" i="8"/>
  <c r="E62" i="8"/>
  <c r="D62" i="8"/>
  <c r="C62" i="8"/>
  <c r="F61" i="8"/>
  <c r="E61" i="8"/>
  <c r="D61" i="8"/>
  <c r="C61" i="8"/>
  <c r="F60" i="8"/>
  <c r="E60" i="8"/>
  <c r="D60" i="8"/>
  <c r="C60" i="8"/>
  <c r="F59" i="8"/>
  <c r="E59" i="8"/>
  <c r="D59" i="8"/>
  <c r="C59" i="8"/>
  <c r="F58" i="8"/>
  <c r="E58" i="8"/>
  <c r="D58" i="8"/>
  <c r="C58" i="8"/>
  <c r="F57" i="8"/>
  <c r="E57" i="8"/>
  <c r="D57" i="8"/>
  <c r="C57" i="8"/>
  <c r="F56" i="8"/>
  <c r="E56" i="8"/>
  <c r="D56" i="8"/>
  <c r="C56" i="8"/>
  <c r="F55" i="8"/>
  <c r="E55" i="8"/>
  <c r="D55" i="8"/>
  <c r="C55" i="8"/>
  <c r="F54" i="8"/>
  <c r="E54" i="8"/>
  <c r="D54" i="8"/>
  <c r="C54" i="8"/>
  <c r="F53" i="8"/>
  <c r="E53" i="8"/>
  <c r="D53" i="8"/>
  <c r="C53" i="8"/>
  <c r="F52" i="8"/>
  <c r="E52" i="8"/>
  <c r="D52" i="8"/>
  <c r="C52" i="8"/>
  <c r="F51" i="8"/>
  <c r="E51" i="8"/>
  <c r="D51" i="8"/>
  <c r="C51" i="8"/>
  <c r="F50" i="8"/>
  <c r="E50" i="8"/>
  <c r="D50" i="8"/>
  <c r="C50" i="8"/>
  <c r="F49" i="8"/>
  <c r="E49" i="8"/>
  <c r="D49" i="8"/>
  <c r="C49" i="8"/>
  <c r="F48" i="8"/>
  <c r="E48" i="8"/>
  <c r="D48" i="8"/>
  <c r="C48" i="8"/>
  <c r="F47" i="8"/>
  <c r="E47" i="8"/>
  <c r="D47" i="8"/>
  <c r="C47" i="8"/>
  <c r="F46" i="8"/>
  <c r="E46" i="8"/>
  <c r="D46" i="8"/>
  <c r="C46" i="8"/>
  <c r="F45" i="8"/>
  <c r="E45" i="8"/>
  <c r="D45" i="8"/>
  <c r="C45" i="8"/>
  <c r="F44" i="8"/>
  <c r="E44" i="8"/>
  <c r="D44" i="8"/>
  <c r="C44" i="8"/>
  <c r="F43" i="8"/>
  <c r="E43" i="8"/>
  <c r="D43" i="8"/>
  <c r="C43" i="8"/>
  <c r="F42" i="8"/>
  <c r="E42" i="8"/>
  <c r="D42" i="8"/>
  <c r="C42" i="8"/>
  <c r="F41" i="8"/>
  <c r="E41" i="8"/>
  <c r="D41" i="8"/>
  <c r="C41" i="8"/>
  <c r="F40" i="8"/>
  <c r="E40" i="8"/>
  <c r="D40" i="8"/>
  <c r="C40" i="8"/>
  <c r="F39" i="8"/>
  <c r="E39" i="8"/>
  <c r="D39" i="8"/>
  <c r="C39" i="8"/>
  <c r="F38" i="8"/>
  <c r="E38" i="8"/>
  <c r="D38" i="8"/>
  <c r="C38" i="8"/>
  <c r="F37" i="8"/>
  <c r="E37" i="8"/>
  <c r="D37" i="8"/>
  <c r="C37" i="8"/>
  <c r="F36" i="8"/>
  <c r="E36" i="8"/>
  <c r="D36" i="8"/>
  <c r="C36" i="8"/>
  <c r="F35" i="8"/>
  <c r="E35" i="8"/>
  <c r="D35" i="8"/>
  <c r="C35" i="8"/>
  <c r="F34" i="8"/>
  <c r="E34" i="8"/>
  <c r="D34" i="8"/>
  <c r="C34" i="8"/>
  <c r="F33" i="8"/>
  <c r="E33" i="8"/>
  <c r="D33" i="8"/>
  <c r="C33" i="8"/>
  <c r="F32" i="8"/>
  <c r="E32" i="8"/>
  <c r="D32" i="8"/>
  <c r="C32" i="8"/>
  <c r="F31" i="8"/>
  <c r="E31" i="8"/>
  <c r="D31" i="8"/>
  <c r="C31" i="8"/>
  <c r="F30" i="8"/>
  <c r="E30" i="8"/>
  <c r="D30" i="8"/>
  <c r="C30" i="8"/>
  <c r="F29" i="8"/>
  <c r="E29" i="8"/>
  <c r="D29" i="8"/>
  <c r="C29" i="8"/>
  <c r="F28" i="8"/>
  <c r="E28" i="8"/>
  <c r="D28" i="8"/>
  <c r="C28" i="8"/>
  <c r="F27" i="8"/>
  <c r="E27" i="8"/>
  <c r="D27" i="8"/>
  <c r="C27" i="8"/>
  <c r="F26" i="8"/>
  <c r="E26" i="8"/>
  <c r="D26" i="8"/>
  <c r="C26" i="8"/>
  <c r="F25" i="8"/>
  <c r="E25" i="8"/>
  <c r="D25" i="8"/>
  <c r="C25" i="8"/>
  <c r="F24" i="8"/>
  <c r="E24" i="8"/>
  <c r="D24" i="8"/>
  <c r="C24" i="8"/>
  <c r="F23" i="8"/>
  <c r="E23" i="8"/>
  <c r="D23" i="8"/>
  <c r="C23" i="8"/>
  <c r="F22" i="8"/>
  <c r="E22" i="8"/>
  <c r="D22" i="8"/>
  <c r="C22" i="8"/>
  <c r="F21" i="8"/>
  <c r="E21" i="8"/>
  <c r="D21" i="8"/>
  <c r="C21" i="8"/>
  <c r="F20" i="8"/>
  <c r="E20" i="8"/>
  <c r="D20" i="8"/>
  <c r="C20" i="8"/>
  <c r="F19" i="8"/>
  <c r="E19" i="8"/>
  <c r="D19" i="8"/>
  <c r="C19" i="8"/>
  <c r="F18" i="8"/>
  <c r="E18" i="8"/>
  <c r="D18" i="8"/>
  <c r="C18" i="8"/>
  <c r="F17" i="8"/>
  <c r="E17" i="8"/>
  <c r="D17" i="8"/>
  <c r="C17" i="8"/>
  <c r="D16" i="8"/>
  <c r="F15" i="8"/>
  <c r="E15" i="8"/>
  <c r="D15" i="8"/>
  <c r="C15" i="8"/>
  <c r="F13" i="8"/>
  <c r="E13" i="8"/>
  <c r="D13" i="8"/>
  <c r="C13" i="8"/>
  <c r="F12" i="8"/>
  <c r="E12" i="8"/>
  <c r="D12" i="8"/>
  <c r="C12" i="8"/>
  <c r="F11" i="8"/>
  <c r="E11" i="8"/>
  <c r="D11" i="8"/>
  <c r="C11" i="8"/>
  <c r="F10" i="8"/>
  <c r="E10" i="8"/>
  <c r="D10" i="8"/>
  <c r="C10" i="8"/>
  <c r="F9" i="8"/>
  <c r="E9" i="8"/>
  <c r="D9" i="8"/>
  <c r="C9" i="8"/>
  <c r="F8" i="8"/>
  <c r="E8" i="8"/>
  <c r="D8" i="8"/>
  <c r="C8" i="8"/>
  <c r="F7" i="8"/>
  <c r="E7" i="8"/>
  <c r="D7" i="8"/>
  <c r="C7" i="8"/>
  <c r="F6" i="8"/>
  <c r="E6" i="8"/>
  <c r="D6" i="8"/>
  <c r="C6" i="8"/>
  <c r="F5" i="8"/>
  <c r="E5" i="8"/>
  <c r="D5" i="8"/>
  <c r="C5" i="8"/>
  <c r="F4" i="8"/>
  <c r="E4" i="8"/>
  <c r="D4" i="8"/>
  <c r="C4" i="8"/>
  <c r="D46" i="1"/>
  <c r="C46" i="1"/>
  <c r="B46" i="1"/>
  <c r="F16" i="6"/>
  <c r="C6" i="6"/>
  <c r="D6" i="6"/>
  <c r="E6" i="6"/>
  <c r="F6" i="6"/>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52" i="1"/>
  <c r="E53" i="1"/>
  <c r="E54" i="1"/>
  <c r="E55" i="1"/>
  <c r="E56" i="1"/>
  <c r="E57" i="1"/>
  <c r="E58" i="1"/>
  <c r="E59" i="1"/>
  <c r="E60" i="1"/>
  <c r="E61" i="1"/>
  <c r="E62" i="1"/>
  <c r="E63" i="1"/>
  <c r="E64" i="1"/>
  <c r="E65" i="1"/>
  <c r="E43" i="1"/>
  <c r="E44" i="1"/>
  <c r="E45" i="1"/>
  <c r="E46" i="1"/>
  <c r="E47" i="1"/>
  <c r="E48" i="1"/>
  <c r="E49" i="1"/>
  <c r="E50" i="1"/>
  <c r="E51" i="1"/>
  <c r="D42" i="1"/>
  <c r="C42" i="1"/>
  <c r="B42" i="1"/>
  <c r="D41" i="1"/>
  <c r="C41" i="1"/>
  <c r="B41" i="1"/>
  <c r="D40" i="1"/>
  <c r="C40" i="1"/>
  <c r="B40" i="1"/>
  <c r="D39" i="1"/>
  <c r="C39" i="1"/>
  <c r="B39" i="1"/>
  <c r="D37" i="1"/>
  <c r="C37" i="1"/>
  <c r="B37" i="1"/>
  <c r="D36" i="1"/>
  <c r="C36" i="1"/>
  <c r="B36" i="1"/>
  <c r="D35" i="1"/>
  <c r="C35" i="1"/>
  <c r="B35" i="1"/>
  <c r="D34" i="1"/>
  <c r="C34" i="1"/>
  <c r="B34" i="1"/>
  <c r="C33" i="1"/>
  <c r="B33" i="1"/>
  <c r="D32" i="1"/>
  <c r="C32" i="1"/>
  <c r="B32" i="1"/>
  <c r="D31" i="1"/>
  <c r="C31" i="1"/>
  <c r="B31" i="1"/>
  <c r="D30" i="1"/>
  <c r="C30" i="1"/>
  <c r="B30" i="1"/>
  <c r="D29" i="1"/>
  <c r="C29" i="1"/>
  <c r="B29" i="1"/>
  <c r="D28" i="1"/>
  <c r="C28" i="1"/>
  <c r="B28" i="1"/>
  <c r="D25" i="1"/>
  <c r="C25" i="1"/>
  <c r="B25" i="1"/>
  <c r="C8" i="5"/>
  <c r="D8" i="5"/>
  <c r="E8" i="5"/>
  <c r="F8" i="5"/>
  <c r="F71" i="6"/>
  <c r="E71" i="6"/>
  <c r="D71" i="6"/>
  <c r="C71" i="6"/>
  <c r="F70" i="6"/>
  <c r="E70" i="6"/>
  <c r="D70" i="6"/>
  <c r="C70" i="6"/>
  <c r="F69" i="6"/>
  <c r="E69" i="6"/>
  <c r="D69" i="6"/>
  <c r="C69" i="6"/>
  <c r="F68" i="6"/>
  <c r="E68" i="6"/>
  <c r="D68" i="6"/>
  <c r="C68" i="6"/>
  <c r="F67" i="6"/>
  <c r="E67" i="6"/>
  <c r="D67" i="6"/>
  <c r="C67" i="6"/>
  <c r="F66" i="6"/>
  <c r="E66" i="6"/>
  <c r="D66" i="6"/>
  <c r="C66" i="6"/>
  <c r="F65" i="6"/>
  <c r="E65" i="6"/>
  <c r="D65" i="6"/>
  <c r="C65" i="6"/>
  <c r="F64" i="6"/>
  <c r="E64" i="6"/>
  <c r="D64" i="6"/>
  <c r="C64" i="6"/>
  <c r="F63" i="6"/>
  <c r="E63" i="6"/>
  <c r="D63" i="6"/>
  <c r="C63" i="6"/>
  <c r="F62" i="6"/>
  <c r="E62" i="6"/>
  <c r="D62" i="6"/>
  <c r="C62" i="6"/>
  <c r="F61" i="6"/>
  <c r="E61" i="6"/>
  <c r="D61" i="6"/>
  <c r="C61" i="6"/>
  <c r="F60" i="6"/>
  <c r="E60" i="6"/>
  <c r="D60" i="6"/>
  <c r="C60" i="6"/>
  <c r="F59" i="6"/>
  <c r="E59" i="6"/>
  <c r="D59" i="6"/>
  <c r="C59" i="6"/>
  <c r="F58" i="6"/>
  <c r="E58" i="6"/>
  <c r="D58" i="6"/>
  <c r="C58" i="6"/>
  <c r="F57" i="6"/>
  <c r="E57" i="6"/>
  <c r="D57" i="6"/>
  <c r="C57" i="6"/>
  <c r="F56" i="6"/>
  <c r="E56" i="6"/>
  <c r="D56" i="6"/>
  <c r="C56" i="6"/>
  <c r="F55" i="6"/>
  <c r="E55" i="6"/>
  <c r="D55" i="6"/>
  <c r="C55" i="6"/>
  <c r="F54" i="6"/>
  <c r="E54" i="6"/>
  <c r="D54" i="6"/>
  <c r="C54" i="6"/>
  <c r="F53" i="6"/>
  <c r="E53" i="6"/>
  <c r="D53" i="6"/>
  <c r="C53" i="6"/>
  <c r="F52" i="6"/>
  <c r="E52" i="6"/>
  <c r="D52" i="6"/>
  <c r="C52" i="6"/>
  <c r="F51" i="6"/>
  <c r="E51" i="6"/>
  <c r="D51" i="6"/>
  <c r="C51" i="6"/>
  <c r="F50" i="6"/>
  <c r="E50" i="6"/>
  <c r="D50" i="6"/>
  <c r="C50" i="6"/>
  <c r="F49" i="6"/>
  <c r="E49" i="6"/>
  <c r="D49" i="6"/>
  <c r="C49" i="6"/>
  <c r="F48" i="6"/>
  <c r="E48" i="6"/>
  <c r="D48" i="6"/>
  <c r="C48" i="6"/>
  <c r="F47" i="6"/>
  <c r="E47" i="6"/>
  <c r="D47" i="6"/>
  <c r="C47" i="6"/>
  <c r="F46" i="6"/>
  <c r="E46" i="6"/>
  <c r="D46" i="6"/>
  <c r="C46" i="6"/>
  <c r="F45" i="6"/>
  <c r="E45" i="6"/>
  <c r="D45" i="6"/>
  <c r="C45" i="6"/>
  <c r="F44" i="6"/>
  <c r="E44" i="6"/>
  <c r="D44" i="6"/>
  <c r="C44" i="6"/>
  <c r="F43" i="6"/>
  <c r="E43" i="6"/>
  <c r="D43" i="6"/>
  <c r="C43" i="6"/>
  <c r="F42" i="6"/>
  <c r="E42" i="6"/>
  <c r="D42" i="6"/>
  <c r="C42" i="6"/>
  <c r="F41" i="6"/>
  <c r="E41" i="6"/>
  <c r="D41" i="6"/>
  <c r="C41" i="6"/>
  <c r="F40" i="6"/>
  <c r="E40" i="6"/>
  <c r="D40" i="6"/>
  <c r="C40" i="6"/>
  <c r="F39" i="6"/>
  <c r="E39" i="6"/>
  <c r="D39" i="6"/>
  <c r="C39" i="6"/>
  <c r="F38" i="6"/>
  <c r="E38" i="6"/>
  <c r="D38" i="6"/>
  <c r="C38" i="6"/>
  <c r="F37" i="6"/>
  <c r="E37" i="6"/>
  <c r="D37" i="6"/>
  <c r="C37" i="6"/>
  <c r="F36" i="6"/>
  <c r="E36" i="6"/>
  <c r="D36" i="6"/>
  <c r="C36" i="6"/>
  <c r="F35" i="6"/>
  <c r="E35" i="6"/>
  <c r="D35" i="6"/>
  <c r="C35" i="6"/>
  <c r="F34" i="6"/>
  <c r="E34" i="6"/>
  <c r="D34" i="6"/>
  <c r="C34" i="6"/>
  <c r="F33" i="6"/>
  <c r="E33" i="6"/>
  <c r="D33" i="6"/>
  <c r="C33" i="6"/>
  <c r="F32" i="6"/>
  <c r="E32" i="6"/>
  <c r="D32" i="6"/>
  <c r="C32" i="6"/>
  <c r="F31" i="6"/>
  <c r="E31" i="6"/>
  <c r="D31" i="6"/>
  <c r="C31" i="6"/>
  <c r="F30" i="6"/>
  <c r="E30" i="6"/>
  <c r="D30" i="6"/>
  <c r="C30" i="6"/>
  <c r="F29" i="6"/>
  <c r="E29" i="6"/>
  <c r="D29" i="6"/>
  <c r="C29" i="6"/>
  <c r="F28" i="6"/>
  <c r="E28" i="6"/>
  <c r="D28" i="6"/>
  <c r="C28" i="6"/>
  <c r="F27" i="6"/>
  <c r="E27" i="6"/>
  <c r="D27" i="6"/>
  <c r="C27" i="6"/>
  <c r="F26" i="6"/>
  <c r="E26" i="6"/>
  <c r="D26" i="6"/>
  <c r="C26" i="6"/>
  <c r="F25" i="6"/>
  <c r="E25" i="6"/>
  <c r="D25" i="6"/>
  <c r="C25" i="6"/>
  <c r="F24" i="6"/>
  <c r="E24" i="6"/>
  <c r="D24" i="6"/>
  <c r="C24" i="6"/>
  <c r="F23" i="6"/>
  <c r="E23" i="6"/>
  <c r="D23" i="6"/>
  <c r="C23" i="6"/>
  <c r="F22" i="6"/>
  <c r="E22" i="6"/>
  <c r="D22" i="6"/>
  <c r="C22" i="6"/>
  <c r="F21" i="6"/>
  <c r="E21" i="6"/>
  <c r="D21" i="6"/>
  <c r="C21" i="6"/>
  <c r="F20" i="6"/>
  <c r="E20" i="6"/>
  <c r="D20" i="6"/>
  <c r="C20" i="6"/>
  <c r="F19" i="6"/>
  <c r="E19" i="6"/>
  <c r="D19" i="6"/>
  <c r="C19" i="6"/>
  <c r="C18" i="6"/>
  <c r="F17" i="6"/>
  <c r="E17" i="6"/>
  <c r="D17" i="6"/>
  <c r="C17" i="6"/>
  <c r="F15" i="6"/>
  <c r="E15" i="6"/>
  <c r="D15" i="6"/>
  <c r="C15" i="6"/>
  <c r="F14" i="6"/>
  <c r="E14" i="6"/>
  <c r="D14" i="6"/>
  <c r="C14" i="6"/>
  <c r="F13" i="6"/>
  <c r="E13" i="6"/>
  <c r="D13" i="6"/>
  <c r="C13" i="6"/>
  <c r="F12" i="6"/>
  <c r="E12" i="6"/>
  <c r="D12" i="6"/>
  <c r="C12" i="6"/>
  <c r="E11" i="6"/>
  <c r="D11" i="6"/>
  <c r="C11" i="6"/>
  <c r="F10" i="6"/>
  <c r="E10" i="6"/>
  <c r="D10" i="6"/>
  <c r="C10" i="6"/>
  <c r="F9" i="6"/>
  <c r="E9" i="6"/>
  <c r="D9" i="6"/>
  <c r="C9" i="6"/>
  <c r="F8" i="6"/>
  <c r="E8" i="6"/>
  <c r="D8" i="6"/>
  <c r="C8" i="6"/>
  <c r="E7" i="6"/>
  <c r="D7" i="6"/>
  <c r="C7" i="6"/>
  <c r="E5" i="6"/>
  <c r="D5" i="6"/>
  <c r="C5" i="6"/>
  <c r="F4" i="6"/>
  <c r="E4" i="6"/>
  <c r="D4" i="6"/>
  <c r="C4" i="6"/>
  <c r="F3" i="6"/>
  <c r="E3" i="6"/>
  <c r="D3" i="6"/>
  <c r="C3" i="6"/>
  <c r="F2" i="6"/>
  <c r="E2" i="6"/>
  <c r="D2" i="6"/>
  <c r="C2" i="6"/>
  <c r="F72" i="5"/>
  <c r="E72" i="5"/>
  <c r="D72" i="5"/>
  <c r="C72" i="5"/>
  <c r="F71" i="5"/>
  <c r="E71" i="5"/>
  <c r="D71" i="5"/>
  <c r="C71" i="5"/>
  <c r="F70" i="5"/>
  <c r="E70" i="5"/>
  <c r="D70" i="5"/>
  <c r="C70" i="5"/>
  <c r="F69" i="5"/>
  <c r="E69" i="5"/>
  <c r="D69" i="5"/>
  <c r="C69" i="5"/>
  <c r="F68" i="5"/>
  <c r="E68" i="5"/>
  <c r="D68" i="5"/>
  <c r="C68" i="5"/>
  <c r="F67" i="5"/>
  <c r="E67" i="5"/>
  <c r="D67" i="5"/>
  <c r="C67" i="5"/>
  <c r="F66" i="5"/>
  <c r="E66" i="5"/>
  <c r="D66" i="5"/>
  <c r="C66" i="5"/>
  <c r="F65" i="5"/>
  <c r="E65" i="5"/>
  <c r="D65" i="5"/>
  <c r="C65" i="5"/>
  <c r="F64" i="5"/>
  <c r="E64" i="5"/>
  <c r="D64" i="5"/>
  <c r="C64" i="5"/>
  <c r="F63" i="5"/>
  <c r="E63" i="5"/>
  <c r="D63" i="5"/>
  <c r="C63" i="5"/>
  <c r="F62" i="5"/>
  <c r="E62" i="5"/>
  <c r="D62" i="5"/>
  <c r="C62" i="5"/>
  <c r="F61" i="5"/>
  <c r="E61" i="5"/>
  <c r="D61" i="5"/>
  <c r="C61" i="5"/>
  <c r="F60" i="5"/>
  <c r="E60" i="5"/>
  <c r="D60" i="5"/>
  <c r="C60" i="5"/>
  <c r="F59" i="5"/>
  <c r="E59" i="5"/>
  <c r="D59" i="5"/>
  <c r="C59" i="5"/>
  <c r="F58" i="5"/>
  <c r="E58" i="5"/>
  <c r="D58" i="5"/>
  <c r="C58" i="5"/>
  <c r="F57" i="5"/>
  <c r="E57" i="5"/>
  <c r="D57" i="5"/>
  <c r="C57" i="5"/>
  <c r="F56" i="5"/>
  <c r="E56" i="5"/>
  <c r="D56" i="5"/>
  <c r="C56" i="5"/>
  <c r="F55" i="5"/>
  <c r="E55" i="5"/>
  <c r="D55" i="5"/>
  <c r="C55" i="5"/>
  <c r="F54" i="5"/>
  <c r="E54" i="5"/>
  <c r="D54" i="5"/>
  <c r="C54" i="5"/>
  <c r="F53" i="5"/>
  <c r="E53" i="5"/>
  <c r="D53" i="5"/>
  <c r="C53" i="5"/>
  <c r="F52" i="5"/>
  <c r="E52" i="5"/>
  <c r="D52" i="5"/>
  <c r="C52" i="5"/>
  <c r="F51" i="5"/>
  <c r="E51" i="5"/>
  <c r="D51" i="5"/>
  <c r="C51" i="5"/>
  <c r="F50" i="5"/>
  <c r="E50" i="5"/>
  <c r="D50" i="5"/>
  <c r="C50" i="5"/>
  <c r="F49" i="5"/>
  <c r="E49" i="5"/>
  <c r="D49" i="5"/>
  <c r="C49" i="5"/>
  <c r="F48" i="5"/>
  <c r="E48" i="5"/>
  <c r="D48" i="5"/>
  <c r="C48" i="5"/>
  <c r="F47" i="5"/>
  <c r="E47" i="5"/>
  <c r="D47" i="5"/>
  <c r="C47" i="5"/>
  <c r="F46" i="5"/>
  <c r="E46" i="5"/>
  <c r="D46" i="5"/>
  <c r="C46" i="5"/>
  <c r="F45" i="5"/>
  <c r="E45" i="5"/>
  <c r="D45" i="5"/>
  <c r="C45" i="5"/>
  <c r="F44" i="5"/>
  <c r="E44" i="5"/>
  <c r="D44" i="5"/>
  <c r="C44" i="5"/>
  <c r="F43" i="5"/>
  <c r="E43" i="5"/>
  <c r="D43" i="5"/>
  <c r="C43" i="5"/>
  <c r="F42" i="5"/>
  <c r="E42" i="5"/>
  <c r="D42" i="5"/>
  <c r="C42" i="5"/>
  <c r="F41" i="5"/>
  <c r="E41" i="5"/>
  <c r="D41" i="5"/>
  <c r="C41" i="5"/>
  <c r="F40" i="5"/>
  <c r="E40" i="5"/>
  <c r="D40" i="5"/>
  <c r="C40" i="5"/>
  <c r="F39" i="5"/>
  <c r="E39" i="5"/>
  <c r="D39" i="5"/>
  <c r="C39" i="5"/>
  <c r="F38" i="5"/>
  <c r="E38" i="5"/>
  <c r="D38" i="5"/>
  <c r="C38" i="5"/>
  <c r="F37" i="5"/>
  <c r="E37" i="5"/>
  <c r="D37" i="5"/>
  <c r="C37" i="5"/>
  <c r="F36" i="5"/>
  <c r="E36" i="5"/>
  <c r="D36" i="5"/>
  <c r="C36" i="5"/>
  <c r="F35" i="5"/>
  <c r="E35" i="5"/>
  <c r="D35" i="5"/>
  <c r="C35" i="5"/>
  <c r="F34" i="5"/>
  <c r="E34" i="5"/>
  <c r="D34" i="5"/>
  <c r="C34" i="5"/>
  <c r="F33" i="5"/>
  <c r="E33" i="5"/>
  <c r="D33" i="5"/>
  <c r="C33" i="5"/>
  <c r="F32" i="5"/>
  <c r="E32" i="5"/>
  <c r="D32" i="5"/>
  <c r="C32" i="5"/>
  <c r="F31" i="5"/>
  <c r="E31" i="5"/>
  <c r="D31" i="5"/>
  <c r="C31" i="5"/>
  <c r="F30" i="5"/>
  <c r="E30" i="5"/>
  <c r="D30" i="5"/>
  <c r="C30" i="5"/>
  <c r="F29" i="5"/>
  <c r="E29" i="5"/>
  <c r="D29" i="5"/>
  <c r="C29" i="5"/>
  <c r="F28" i="5"/>
  <c r="E28" i="5"/>
  <c r="D28" i="5"/>
  <c r="C28" i="5"/>
  <c r="F27" i="5"/>
  <c r="E27" i="5"/>
  <c r="D27" i="5"/>
  <c r="C27" i="5"/>
  <c r="F26" i="5"/>
  <c r="E26" i="5"/>
  <c r="D26" i="5"/>
  <c r="C26" i="5"/>
  <c r="F25" i="5"/>
  <c r="E25" i="5"/>
  <c r="D25" i="5"/>
  <c r="C25" i="5"/>
  <c r="F24" i="5"/>
  <c r="E24" i="5"/>
  <c r="D24" i="5"/>
  <c r="C24" i="5"/>
  <c r="F23" i="5"/>
  <c r="E23" i="5"/>
  <c r="D23" i="5"/>
  <c r="C23" i="5"/>
  <c r="F22" i="5"/>
  <c r="E22" i="5"/>
  <c r="D22" i="5"/>
  <c r="C22" i="5"/>
  <c r="F21" i="5"/>
  <c r="E21" i="5"/>
  <c r="D21" i="5"/>
  <c r="C21" i="5"/>
  <c r="F20" i="5"/>
  <c r="E20" i="5"/>
  <c r="D20" i="5"/>
  <c r="C20" i="5"/>
  <c r="F19" i="5"/>
  <c r="E19" i="5"/>
  <c r="D19" i="5"/>
  <c r="C19" i="5"/>
  <c r="F18" i="5"/>
  <c r="E18" i="5"/>
  <c r="D18" i="5"/>
  <c r="C18" i="5"/>
  <c r="F17" i="5"/>
  <c r="E17" i="5"/>
  <c r="D17" i="5"/>
  <c r="C17" i="5"/>
  <c r="F16" i="5"/>
  <c r="E16" i="5"/>
  <c r="D16" i="5"/>
  <c r="C16" i="5"/>
  <c r="F15" i="5"/>
  <c r="E15" i="5"/>
  <c r="D15" i="5"/>
  <c r="C15" i="5"/>
  <c r="F14" i="5"/>
  <c r="E14" i="5"/>
  <c r="D14" i="5"/>
  <c r="C14" i="5"/>
  <c r="F13" i="5"/>
  <c r="E13" i="5"/>
  <c r="D13" i="5"/>
  <c r="C13" i="5"/>
  <c r="F12" i="5"/>
  <c r="E12" i="5"/>
  <c r="D12" i="5"/>
  <c r="C12" i="5"/>
  <c r="F11" i="5"/>
  <c r="E11" i="5"/>
  <c r="D11" i="5"/>
  <c r="C11" i="5"/>
  <c r="F10" i="5"/>
  <c r="E10" i="5"/>
  <c r="D10" i="5"/>
  <c r="C10" i="5"/>
  <c r="F9" i="5"/>
  <c r="E9" i="5"/>
  <c r="D9" i="5"/>
  <c r="C9" i="5"/>
  <c r="F7" i="5"/>
  <c r="E7" i="5"/>
  <c r="D7" i="5"/>
  <c r="C7" i="5"/>
  <c r="F6" i="5"/>
  <c r="E6" i="5"/>
  <c r="D6" i="5"/>
  <c r="C6" i="5"/>
  <c r="E5" i="5"/>
  <c r="D5" i="5"/>
  <c r="C5" i="5"/>
  <c r="E4" i="5"/>
  <c r="D4" i="5"/>
  <c r="C4" i="5"/>
  <c r="F3" i="5"/>
  <c r="E3" i="5"/>
  <c r="D3" i="5"/>
  <c r="C3" i="5"/>
  <c r="F2" i="5"/>
  <c r="E2" i="5"/>
  <c r="D2" i="5"/>
  <c r="C2" i="5"/>
  <c r="C24" i="1"/>
  <c r="B24" i="1"/>
  <c r="D23" i="1"/>
  <c r="C23" i="1"/>
  <c r="B23" i="1"/>
  <c r="D16" i="1"/>
  <c r="C16" i="1"/>
  <c r="B16" i="1"/>
  <c r="D15" i="1"/>
  <c r="C15" i="1"/>
  <c r="B15" i="1"/>
  <c r="E12" i="1"/>
  <c r="E13" i="1"/>
  <c r="E14" i="1"/>
  <c r="E15" i="1"/>
  <c r="E16" i="1"/>
  <c r="F4" i="5" s="1"/>
  <c r="E17" i="1"/>
  <c r="E18" i="1"/>
  <c r="E19" i="1"/>
  <c r="E20" i="1"/>
  <c r="E21" i="1"/>
  <c r="E22" i="1"/>
  <c r="E23" i="1"/>
  <c r="E24" i="1"/>
  <c r="E25" i="1"/>
  <c r="E26" i="1"/>
  <c r="E27" i="1"/>
  <c r="E28" i="1"/>
  <c r="E29" i="1"/>
  <c r="F5" i="6" s="1"/>
  <c r="E30" i="1"/>
  <c r="E31" i="1"/>
  <c r="E32" i="1"/>
  <c r="E33" i="1"/>
  <c r="E34" i="1"/>
  <c r="E35" i="1"/>
  <c r="E36" i="1"/>
  <c r="E37" i="1"/>
  <c r="E38" i="1"/>
  <c r="E39" i="1"/>
  <c r="E40" i="1"/>
  <c r="E41" i="1"/>
  <c r="E42" i="1"/>
  <c r="E11" i="1"/>
  <c r="E9" i="1"/>
  <c r="E8" i="1"/>
  <c r="B6" i="1"/>
  <c r="E6" i="1"/>
  <c r="F7" i="6" s="1"/>
  <c r="E5" i="1"/>
  <c r="E3" i="1"/>
  <c r="E4" i="1"/>
  <c r="E7" i="1"/>
  <c r="M11" i="9" l="1"/>
  <c r="K11" i="9"/>
  <c r="L11" i="9"/>
  <c r="D14" i="8"/>
  <c r="C14" i="8"/>
  <c r="E14" i="8"/>
  <c r="F18" i="6"/>
  <c r="E18" i="6"/>
  <c r="C16" i="6"/>
  <c r="K10" i="6" s="1"/>
  <c r="D3" i="8"/>
  <c r="C3" i="8"/>
  <c r="E3" i="8"/>
  <c r="F16" i="8"/>
  <c r="N11" i="8" s="1"/>
  <c r="E16" i="8"/>
  <c r="C16" i="8"/>
  <c r="E16" i="6"/>
  <c r="L10" i="6"/>
  <c r="M8" i="5"/>
  <c r="K8" i="5"/>
  <c r="L8" i="5"/>
  <c r="E10" i="1"/>
  <c r="L11" i="8" l="1"/>
  <c r="L12" i="8" s="1"/>
  <c r="K11" i="8"/>
  <c r="K12" i="8" s="1"/>
  <c r="M11" i="8"/>
  <c r="M12" i="8" s="1"/>
  <c r="M10" i="6"/>
  <c r="F11" i="6"/>
  <c r="N10" i="6" s="1"/>
  <c r="F5" i="5"/>
  <c r="N8" i="5" s="1"/>
  <c r="K9" i="5" s="1"/>
  <c r="M9" i="5" l="1"/>
  <c r="L9" i="5"/>
  <c r="K11" i="6"/>
  <c r="L11" i="6"/>
  <c r="M11" i="6"/>
</calcChain>
</file>

<file path=xl/sharedStrings.xml><?xml version="1.0" encoding="utf-8"?>
<sst xmlns="http://schemas.openxmlformats.org/spreadsheetml/2006/main" count="193" uniqueCount="78">
  <si>
    <t>All Nutrition Facts Are For 100-g / 100-ml Serving</t>
  </si>
  <si>
    <t>Notes</t>
  </si>
  <si>
    <t>Food</t>
  </si>
  <si>
    <t>Carbs (g)</t>
  </si>
  <si>
    <t>Protein (g)</t>
  </si>
  <si>
    <t>Fats (g)</t>
  </si>
  <si>
    <t>Calories</t>
  </si>
  <si>
    <t>My red mug at home: 200 ml</t>
  </si>
  <si>
    <t>Bread (Baladi or Shami)</t>
  </si>
  <si>
    <t>Rice and pasta weight gets doubled after being cooked</t>
  </si>
  <si>
    <t>Egyptian Roumy Cheese</t>
  </si>
  <si>
    <t>Average weight of a date: 12 gm</t>
  </si>
  <si>
    <t>Boiled Eggs</t>
  </si>
  <si>
    <t>Mum puts two tablespoons of tomato sauce on 785 grams of cooked pasta, which weigh around 66 grams of tomato sauce. This means the amount of tomato sauce per 100 grams of cooked pasta is ~8.4 grams.</t>
  </si>
  <si>
    <t>Banana Milk</t>
  </si>
  <si>
    <t>Average weight of an organic banana: 120 gm</t>
  </si>
  <si>
    <t>Kayy Oats</t>
  </si>
  <si>
    <t>Average weight of a cucumber: 90 gm</t>
  </si>
  <si>
    <t>Lamar Skimmed Milk</t>
  </si>
  <si>
    <t>Average weight of an egg: 45 gm</t>
  </si>
  <si>
    <t>Honey</t>
  </si>
  <si>
    <t>Uncooked Rice (Al Doha)</t>
  </si>
  <si>
    <t>Skinless, Boneless, Cooked Chicken Breasts</t>
  </si>
  <si>
    <t>Suntop Orange Juice</t>
  </si>
  <si>
    <t>Rich Bake Normal Toast (Blue)</t>
  </si>
  <si>
    <t>Avante Cottage Cheese</t>
  </si>
  <si>
    <t>Zero Protein Bar</t>
  </si>
  <si>
    <t>Kayy Protein Puffs</t>
  </si>
  <si>
    <t>Bananas</t>
  </si>
  <si>
    <t>Dates</t>
  </si>
  <si>
    <t>Walnuts</t>
  </si>
  <si>
    <t>Hazelnuts</t>
  </si>
  <si>
    <t>Peanuts</t>
  </si>
  <si>
    <t>Cucumber (With Skin)</t>
  </si>
  <si>
    <t>Nutty Peanut Butter</t>
  </si>
  <si>
    <t>Harvest Beans</t>
  </si>
  <si>
    <t>Uncooked Basmaty Rice (Mexicana)</t>
  </si>
  <si>
    <t>Uncooked Pasta (Regina)</t>
  </si>
  <si>
    <t>Chicken Spices (Bab Elsham)</t>
  </si>
  <si>
    <t>Cooked Rice (Al Doha)</t>
  </si>
  <si>
    <t>Juhayna Full Cream Yogurt (105 gm)</t>
  </si>
  <si>
    <t>Juhayna Low-Fat Yogurt (105 gm)</t>
  </si>
  <si>
    <t>Juhayna Low-Fat Greek Yogurt (180 gm)</t>
  </si>
  <si>
    <t>Juhayna Full-Cream Greek Yogurt (180 gm)</t>
  </si>
  <si>
    <t>Yopolis Greek Double Zero Yogurt  (150 gm)</t>
  </si>
  <si>
    <t>Almarai Full-Cream Greek Yogurt (170 gm)</t>
  </si>
  <si>
    <t>Almarai Low-Fat Greek Yogurt (170 gm)</t>
  </si>
  <si>
    <t>Tomato Sauce</t>
  </si>
  <si>
    <t>Cooked Pasta (Regina)</t>
  </si>
  <si>
    <t>Fresh Orange Juice (without any additives)</t>
  </si>
  <si>
    <t>Riefy Skimmed Milk</t>
  </si>
  <si>
    <t>Kayy Protein Bites</t>
  </si>
  <si>
    <t>Weight (g) / Volume (ml)</t>
  </si>
  <si>
    <t>Total Macro-Nutrients</t>
  </si>
  <si>
    <t>-</t>
  </si>
  <si>
    <t>Carbs</t>
  </si>
  <si>
    <t>Protein</t>
  </si>
  <si>
    <t>Fats</t>
  </si>
  <si>
    <t>Amount (g)</t>
  </si>
  <si>
    <t>Percentage</t>
  </si>
  <si>
    <t>Juhayna Acai Greek Yogurt (180 gm)</t>
  </si>
  <si>
    <t>Juhayna Mixed Berries Greek Yogurt (180 gm)</t>
  </si>
  <si>
    <t>Bell Pepper</t>
  </si>
  <si>
    <t>Arugula / Rocket</t>
  </si>
  <si>
    <t>Carrots</t>
  </si>
  <si>
    <t>Average weight of a walnut: 2.5 gm</t>
  </si>
  <si>
    <t>Almarai Full-Cream Milk</t>
  </si>
  <si>
    <t>Cheddar Cheese</t>
  </si>
  <si>
    <t>Turkey (cold cut)</t>
  </si>
  <si>
    <t>Juhayna Pure (Mango &amp; Peach)</t>
  </si>
  <si>
    <t>Salad (tomato, cucumber, carrot, bell pepper) - rough estimate</t>
  </si>
  <si>
    <t>Lamar Full-Cream Milk</t>
  </si>
  <si>
    <t>Digestive Wheat Biscuits</t>
  </si>
  <si>
    <t>Uncooked Basmaty Rice (Larinda)</t>
  </si>
  <si>
    <t>Cooked Basmaty Rice (Larinda)</t>
  </si>
  <si>
    <t>Seuodi extra virgin olive oil</t>
  </si>
  <si>
    <t>1 tbsp of seuodi extra virgin olive oil is 15 ml</t>
  </si>
  <si>
    <t>Almarai butter bar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</si>
</sst>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i/>
      <sz val="12"/>
      <color theme="1"/>
      <name val="Calibri"/>
      <family val="2"/>
      <scheme val="minor"/>
    </font>
    <font>
      <b/>
      <i/>
      <sz val="11"/>
      <color theme="1"/>
      <name val="Calibri"/>
      <family val="2"/>
      <scheme val="minor"/>
    </font>
    <font>
      <b/>
      <sz val="14"/>
      <color theme="1"/>
      <name val="Calibri"/>
      <family val="2"/>
      <scheme val="minor"/>
    </font>
  </fonts>
  <fills count="2">
    <fill>
      <patternFill patternType="none"/>
    </fill>
    <fill>
      <patternFill patternType="gray125"/>
    </fill>
  </fills>
  <borders count="11">
    <border>
      <left/>
      <right/>
      <top/>
      <bottom/>
      <diagonal/>
    </border>
    <border>
      <left/>
      <right/>
      <top/>
      <bottom style="thick">
        <color indexed="64"/>
      </bottom>
      <diagonal/>
    </border>
    <border>
      <left/>
      <right style="thick">
        <color indexed="64"/>
      </right>
      <top/>
      <bottom style="thick">
        <color indexed="64"/>
      </bottom>
      <diagonal/>
    </border>
    <border>
      <left style="thick">
        <color indexed="64"/>
      </left>
      <right style="thick">
        <color indexed="64"/>
      </right>
      <top/>
      <bottom style="thick">
        <color indexed="64"/>
      </bottom>
      <diagonal/>
    </border>
    <border>
      <left/>
      <right style="thick">
        <color indexed="64"/>
      </right>
      <top/>
      <bottom/>
      <diagonal/>
    </border>
    <border>
      <left style="thick">
        <color indexed="64"/>
      </left>
      <right style="thick">
        <color indexed="64"/>
      </right>
      <top/>
      <bottom/>
      <diagonal/>
    </border>
    <border>
      <left style="thick">
        <color indexed="64"/>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s>
  <cellStyleXfs count="1">
    <xf numFmtId="0" fontId="0" fillId="0" borderId="0"/>
  </cellStyleXfs>
  <cellXfs count="17">
    <xf numFmtId="0" fontId="0" fillId="0" borderId="0" xfId="0"/>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6" xfId="0" applyBorder="1" applyAlignment="1">
      <alignment horizontal="center"/>
    </xf>
    <xf numFmtId="0" fontId="0" fillId="0" borderId="7" xfId="0" applyBorder="1" applyAlignment="1">
      <alignment horizontal="center"/>
    </xf>
    <xf numFmtId="10" fontId="0" fillId="0" borderId="3" xfId="0" applyNumberFormat="1" applyBorder="1" applyAlignment="1">
      <alignment horizontal="center"/>
    </xf>
    <xf numFmtId="0" fontId="3" fillId="0" borderId="3" xfId="0" applyFont="1" applyBorder="1" applyAlignment="1">
      <alignment horizontal="center"/>
    </xf>
    <xf numFmtId="0" fontId="0" fillId="0" borderId="5" xfId="0" applyBorder="1" applyAlignment="1">
      <alignment horizontal="center" wrapText="1"/>
    </xf>
    <xf numFmtId="0" fontId="0" fillId="0" borderId="4" xfId="0" applyBorder="1" applyAlignment="1">
      <alignment horizontal="center" wrapText="1"/>
    </xf>
    <xf numFmtId="0" fontId="1" fillId="0" borderId="1" xfId="0" applyFont="1" applyBorder="1" applyAlignment="1">
      <alignment horizontal="center"/>
    </xf>
    <xf numFmtId="0" fontId="1" fillId="0" borderId="2" xfId="0" applyFon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6"/>
  <sheetViews>
    <sheetView topLeftCell="A21" zoomScale="118" workbookViewId="0">
      <selection activeCell="C7" sqref="C7"/>
    </sheetView>
  </sheetViews>
  <sheetFormatPr defaultColWidth="9.109375" defaultRowHeight="14.4" x14ac:dyDescent="0.3"/>
  <cols>
    <col min="1" max="1" width="42.33203125" style="5" bestFit="1" customWidth="1"/>
    <col min="2" max="4" width="12" style="5" bestFit="1" customWidth="1"/>
    <col min="5" max="5" width="8.109375" style="5" bestFit="1" customWidth="1"/>
    <col min="6" max="6" width="9.109375" style="5"/>
    <col min="7" max="7" width="98.5546875" style="4" customWidth="1"/>
    <col min="8" max="16384" width="9.109375" style="5"/>
  </cols>
  <sheetData>
    <row r="1" spans="1:7" ht="18.600000000000001" thickBot="1" x14ac:dyDescent="0.4">
      <c r="A1" s="12" t="s">
        <v>0</v>
      </c>
      <c r="B1" s="12"/>
      <c r="C1" s="12"/>
      <c r="D1" s="12"/>
      <c r="E1" s="13"/>
      <c r="G1" s="9" t="s">
        <v>1</v>
      </c>
    </row>
    <row r="2" spans="1:7" ht="15.6" thickTop="1" thickBot="1" x14ac:dyDescent="0.35">
      <c r="A2" s="1" t="s">
        <v>2</v>
      </c>
      <c r="B2" s="2" t="s">
        <v>3</v>
      </c>
      <c r="C2" s="2" t="s">
        <v>4</v>
      </c>
      <c r="D2" s="2" t="s">
        <v>5</v>
      </c>
      <c r="E2" s="2" t="s">
        <v>6</v>
      </c>
      <c r="G2" s="4" t="s">
        <v>7</v>
      </c>
    </row>
    <row r="3" spans="1:7" ht="15" thickTop="1" x14ac:dyDescent="0.3">
      <c r="A3" s="3" t="s">
        <v>8</v>
      </c>
      <c r="B3" s="4">
        <v>55</v>
      </c>
      <c r="C3" s="4">
        <v>9</v>
      </c>
      <c r="D3" s="4">
        <v>2</v>
      </c>
      <c r="E3" s="4">
        <f t="shared" ref="E3:E42" si="0">(B3+C3)*4+D3*9</f>
        <v>274</v>
      </c>
      <c r="G3" s="4" t="s">
        <v>9</v>
      </c>
    </row>
    <row r="4" spans="1:7" x14ac:dyDescent="0.3">
      <c r="A4" s="3" t="s">
        <v>10</v>
      </c>
      <c r="B4" s="4">
        <v>1</v>
      </c>
      <c r="C4" s="4">
        <v>25</v>
      </c>
      <c r="D4" s="4">
        <v>30</v>
      </c>
      <c r="E4" s="4">
        <f t="shared" si="0"/>
        <v>374</v>
      </c>
      <c r="G4" s="4" t="s">
        <v>11</v>
      </c>
    </row>
    <row r="5" spans="1:7" ht="27" customHeight="1" x14ac:dyDescent="0.3">
      <c r="A5" s="3" t="s">
        <v>12</v>
      </c>
      <c r="B5" s="4">
        <v>1.1000000000000001</v>
      </c>
      <c r="C5" s="4">
        <v>13</v>
      </c>
      <c r="D5" s="4">
        <v>11</v>
      </c>
      <c r="E5" s="4">
        <f t="shared" si="0"/>
        <v>155.4</v>
      </c>
      <c r="G5" s="10" t="s">
        <v>13</v>
      </c>
    </row>
    <row r="6" spans="1:7" x14ac:dyDescent="0.3">
      <c r="A6" s="3" t="s">
        <v>14</v>
      </c>
      <c r="B6" s="4">
        <f>(23/2)</f>
        <v>11.5</v>
      </c>
      <c r="C6" s="4">
        <v>3</v>
      </c>
      <c r="D6" s="4">
        <v>1.5</v>
      </c>
      <c r="E6" s="4">
        <f t="shared" si="0"/>
        <v>71.5</v>
      </c>
      <c r="G6" s="4" t="s">
        <v>15</v>
      </c>
    </row>
    <row r="7" spans="1:7" x14ac:dyDescent="0.3">
      <c r="A7" s="3" t="s">
        <v>16</v>
      </c>
      <c r="B7" s="4">
        <v>60.4</v>
      </c>
      <c r="C7" s="4">
        <v>30</v>
      </c>
      <c r="D7" s="4">
        <v>2</v>
      </c>
      <c r="E7" s="4">
        <f t="shared" si="0"/>
        <v>379.6</v>
      </c>
      <c r="G7" s="4" t="s">
        <v>17</v>
      </c>
    </row>
    <row r="8" spans="1:7" x14ac:dyDescent="0.3">
      <c r="A8" s="3" t="s">
        <v>18</v>
      </c>
      <c r="B8" s="4">
        <v>5.2</v>
      </c>
      <c r="C8" s="4">
        <v>3.3</v>
      </c>
      <c r="D8" s="4">
        <v>0.1</v>
      </c>
      <c r="E8" s="4">
        <f t="shared" si="0"/>
        <v>34.9</v>
      </c>
      <c r="G8" s="4" t="s">
        <v>19</v>
      </c>
    </row>
    <row r="9" spans="1:7" x14ac:dyDescent="0.3">
      <c r="A9" s="3" t="s">
        <v>20</v>
      </c>
      <c r="B9" s="4">
        <v>82.4</v>
      </c>
      <c r="C9" s="4">
        <v>0.3</v>
      </c>
      <c r="D9" s="4">
        <v>0</v>
      </c>
      <c r="E9" s="4">
        <f t="shared" si="0"/>
        <v>330.8</v>
      </c>
      <c r="G9" s="4" t="s">
        <v>65</v>
      </c>
    </row>
    <row r="10" spans="1:7" x14ac:dyDescent="0.3">
      <c r="A10" s="3" t="s">
        <v>21</v>
      </c>
      <c r="B10" s="4">
        <v>81.2</v>
      </c>
      <c r="C10" s="4">
        <v>6.8</v>
      </c>
      <c r="D10" s="4">
        <v>0.9</v>
      </c>
      <c r="E10" s="4">
        <f t="shared" si="0"/>
        <v>360.1</v>
      </c>
      <c r="G10" s="4" t="s">
        <v>76</v>
      </c>
    </row>
    <row r="11" spans="1:7" x14ac:dyDescent="0.3">
      <c r="A11" s="3" t="s">
        <v>22</v>
      </c>
      <c r="B11" s="4">
        <v>0</v>
      </c>
      <c r="C11" s="4">
        <v>31</v>
      </c>
      <c r="D11" s="4">
        <v>3.6</v>
      </c>
      <c r="E11" s="4">
        <f t="shared" si="0"/>
        <v>156.4</v>
      </c>
    </row>
    <row r="12" spans="1:7" x14ac:dyDescent="0.3">
      <c r="A12" s="3" t="s">
        <v>23</v>
      </c>
      <c r="B12" s="4">
        <v>14</v>
      </c>
      <c r="C12" s="4">
        <v>0</v>
      </c>
      <c r="D12" s="4">
        <v>0</v>
      </c>
      <c r="E12" s="4">
        <f t="shared" si="0"/>
        <v>56</v>
      </c>
    </row>
    <row r="13" spans="1:7" x14ac:dyDescent="0.3">
      <c r="A13" s="3" t="s">
        <v>24</v>
      </c>
      <c r="B13" s="4">
        <v>53</v>
      </c>
      <c r="C13" s="4">
        <v>11</v>
      </c>
      <c r="D13" s="4">
        <v>4</v>
      </c>
      <c r="E13" s="4">
        <f t="shared" si="0"/>
        <v>292</v>
      </c>
    </row>
    <row r="14" spans="1:7" x14ac:dyDescent="0.3">
      <c r="A14" s="3" t="s">
        <v>25</v>
      </c>
      <c r="B14" s="4">
        <v>2.7</v>
      </c>
      <c r="C14" s="4">
        <v>12.5</v>
      </c>
      <c r="D14" s="4">
        <v>4.5</v>
      </c>
      <c r="E14" s="4">
        <f t="shared" si="0"/>
        <v>101.3</v>
      </c>
    </row>
    <row r="15" spans="1:7" x14ac:dyDescent="0.3">
      <c r="A15" s="3" t="s">
        <v>26</v>
      </c>
      <c r="B15" s="4">
        <f>(25/60*100)</f>
        <v>41.666666666666671</v>
      </c>
      <c r="C15" s="4">
        <f>(24*100/60)</f>
        <v>40</v>
      </c>
      <c r="D15" s="4">
        <f>(3*100/60)</f>
        <v>5</v>
      </c>
      <c r="E15" s="4">
        <f t="shared" si="0"/>
        <v>371.66666666666669</v>
      </c>
    </row>
    <row r="16" spans="1:7" x14ac:dyDescent="0.3">
      <c r="A16" s="3" t="s">
        <v>27</v>
      </c>
      <c r="B16" s="4">
        <f>(40*100/60)</f>
        <v>66.666666666666671</v>
      </c>
      <c r="C16" s="4">
        <f>(10*100/60)</f>
        <v>16.666666666666668</v>
      </c>
      <c r="D16" s="4">
        <f>(10*100/60)</f>
        <v>16.666666666666668</v>
      </c>
      <c r="E16" s="4">
        <f t="shared" si="0"/>
        <v>483.33333333333337</v>
      </c>
    </row>
    <row r="17" spans="1:5" x14ac:dyDescent="0.3">
      <c r="A17" s="3" t="s">
        <v>28</v>
      </c>
      <c r="B17" s="4">
        <v>23</v>
      </c>
      <c r="C17" s="4">
        <v>1.1000000000000001</v>
      </c>
      <c r="D17" s="4">
        <v>0.3</v>
      </c>
      <c r="E17" s="4">
        <f t="shared" si="0"/>
        <v>99.100000000000009</v>
      </c>
    </row>
    <row r="18" spans="1:5" x14ac:dyDescent="0.3">
      <c r="A18" s="3" t="s">
        <v>29</v>
      </c>
      <c r="B18" s="4">
        <v>75</v>
      </c>
      <c r="C18" s="4">
        <v>1.8</v>
      </c>
      <c r="D18" s="4">
        <v>0.2</v>
      </c>
      <c r="E18" s="4">
        <f t="shared" si="0"/>
        <v>309</v>
      </c>
    </row>
    <row r="19" spans="1:5" x14ac:dyDescent="0.3">
      <c r="A19" s="3" t="s">
        <v>30</v>
      </c>
      <c r="B19" s="4">
        <v>13.7</v>
      </c>
      <c r="C19" s="4">
        <v>15.2</v>
      </c>
      <c r="D19" s="4">
        <v>65.2</v>
      </c>
      <c r="E19" s="4">
        <f t="shared" si="0"/>
        <v>702.40000000000009</v>
      </c>
    </row>
    <row r="20" spans="1:5" x14ac:dyDescent="0.3">
      <c r="A20" s="3" t="s">
        <v>31</v>
      </c>
      <c r="B20" s="4">
        <v>16.7</v>
      </c>
      <c r="C20" s="4">
        <v>14.1</v>
      </c>
      <c r="D20" s="4">
        <v>60.8</v>
      </c>
      <c r="E20" s="4">
        <f t="shared" si="0"/>
        <v>670.39999999999986</v>
      </c>
    </row>
    <row r="21" spans="1:5" x14ac:dyDescent="0.3">
      <c r="A21" s="3" t="s">
        <v>32</v>
      </c>
      <c r="B21" s="4">
        <v>16.100000000000001</v>
      </c>
      <c r="C21" s="4">
        <v>25.8</v>
      </c>
      <c r="D21" s="4">
        <v>49.2</v>
      </c>
      <c r="E21" s="4">
        <f t="shared" si="0"/>
        <v>610.40000000000009</v>
      </c>
    </row>
    <row r="22" spans="1:5" x14ac:dyDescent="0.3">
      <c r="A22" s="3" t="s">
        <v>33</v>
      </c>
      <c r="B22" s="4">
        <v>3.6</v>
      </c>
      <c r="C22" s="4">
        <v>0.7</v>
      </c>
      <c r="D22" s="4">
        <v>0.1</v>
      </c>
      <c r="E22" s="4">
        <f t="shared" si="0"/>
        <v>18.099999999999998</v>
      </c>
    </row>
    <row r="23" spans="1:5" x14ac:dyDescent="0.3">
      <c r="A23" s="3" t="s">
        <v>34</v>
      </c>
      <c r="B23" s="4">
        <f>(7*100/32)</f>
        <v>21.875</v>
      </c>
      <c r="C23" s="4">
        <f>(8*100/32)</f>
        <v>25</v>
      </c>
      <c r="D23" s="4">
        <f>(16*100/32)</f>
        <v>50</v>
      </c>
      <c r="E23" s="4">
        <f t="shared" si="0"/>
        <v>637.5</v>
      </c>
    </row>
    <row r="24" spans="1:5" x14ac:dyDescent="0.3">
      <c r="A24" s="3" t="s">
        <v>35</v>
      </c>
      <c r="B24" s="4">
        <f>(23*100/130)</f>
        <v>17.692307692307693</v>
      </c>
      <c r="C24" s="4">
        <f>(7*100/130)</f>
        <v>5.384615384615385</v>
      </c>
      <c r="D24" s="4">
        <v>0</v>
      </c>
      <c r="E24" s="4">
        <f t="shared" si="0"/>
        <v>92.307692307692321</v>
      </c>
    </row>
    <row r="25" spans="1:5" x14ac:dyDescent="0.3">
      <c r="A25" s="3" t="s">
        <v>36</v>
      </c>
      <c r="B25" s="4">
        <f>(35*100/164)</f>
        <v>21.341463414634145</v>
      </c>
      <c r="C25" s="4">
        <f>(7*100/164)</f>
        <v>4.2682926829268295</v>
      </c>
      <c r="D25" s="4">
        <f>(1*100/164)</f>
        <v>0.6097560975609756</v>
      </c>
      <c r="E25" s="4">
        <f t="shared" si="0"/>
        <v>107.92682926829268</v>
      </c>
    </row>
    <row r="26" spans="1:5" x14ac:dyDescent="0.3">
      <c r="A26" s="3" t="s">
        <v>37</v>
      </c>
      <c r="B26" s="4">
        <v>73</v>
      </c>
      <c r="C26" s="4">
        <v>12.5</v>
      </c>
      <c r="D26" s="4">
        <v>0.75</v>
      </c>
      <c r="E26" s="4">
        <f t="shared" si="0"/>
        <v>348.75</v>
      </c>
    </row>
    <row r="27" spans="1:5" x14ac:dyDescent="0.3">
      <c r="A27" s="3" t="s">
        <v>38</v>
      </c>
      <c r="B27" s="4">
        <v>36.81</v>
      </c>
      <c r="C27" s="4">
        <v>16.75</v>
      </c>
      <c r="D27" s="4">
        <v>5.76</v>
      </c>
      <c r="E27" s="4">
        <f t="shared" si="0"/>
        <v>266.08</v>
      </c>
    </row>
    <row r="28" spans="1:5" x14ac:dyDescent="0.3">
      <c r="A28" s="3" t="s">
        <v>39</v>
      </c>
      <c r="B28" s="4">
        <f>(B10/2)</f>
        <v>40.6</v>
      </c>
      <c r="C28" s="4">
        <f>(C10/2)</f>
        <v>3.4</v>
      </c>
      <c r="D28" s="4">
        <f>(D10/2)</f>
        <v>0.45</v>
      </c>
      <c r="E28" s="4">
        <f t="shared" si="0"/>
        <v>180.05</v>
      </c>
    </row>
    <row r="29" spans="1:5" x14ac:dyDescent="0.3">
      <c r="A29" s="3" t="s">
        <v>40</v>
      </c>
      <c r="B29" s="4">
        <f>(5.3*100/105)</f>
        <v>5.0476190476190474</v>
      </c>
      <c r="C29" s="4">
        <f>(3.8*100/105)</f>
        <v>3.6190476190476191</v>
      </c>
      <c r="D29" s="4">
        <f>(3.4*100/105)</f>
        <v>3.2380952380952381</v>
      </c>
      <c r="E29" s="4">
        <f t="shared" si="0"/>
        <v>63.80952380952381</v>
      </c>
    </row>
    <row r="30" spans="1:5" x14ac:dyDescent="0.3">
      <c r="A30" s="3" t="s">
        <v>41</v>
      </c>
      <c r="B30" s="4">
        <f>(5.3*100/105)</f>
        <v>5.0476190476190474</v>
      </c>
      <c r="C30" s="4">
        <f>(3.4*100/105)</f>
        <v>3.2380952380952381</v>
      </c>
      <c r="D30" s="4">
        <f>(1.6*100/105)</f>
        <v>1.5238095238095237</v>
      </c>
      <c r="E30" s="4">
        <f t="shared" si="0"/>
        <v>46.857142857142854</v>
      </c>
    </row>
    <row r="31" spans="1:5" x14ac:dyDescent="0.3">
      <c r="A31" s="3" t="s">
        <v>42</v>
      </c>
      <c r="B31" s="4">
        <f>(6.5*100/180)</f>
        <v>3.6111111111111112</v>
      </c>
      <c r="C31" s="4">
        <f>(15*100/180)</f>
        <v>8.3333333333333339</v>
      </c>
      <c r="D31" s="4">
        <f>(0.36*100/180)</f>
        <v>0.2</v>
      </c>
      <c r="E31" s="4">
        <f t="shared" si="0"/>
        <v>49.577777777777776</v>
      </c>
    </row>
    <row r="32" spans="1:5" x14ac:dyDescent="0.3">
      <c r="A32" s="3" t="s">
        <v>43</v>
      </c>
      <c r="B32" s="4">
        <f>(7.2*100/180)</f>
        <v>4</v>
      </c>
      <c r="C32" s="4">
        <f>(15*100/180)</f>
        <v>8.3333333333333339</v>
      </c>
      <c r="D32" s="4">
        <f>(9*100/180)</f>
        <v>5</v>
      </c>
      <c r="E32" s="4">
        <f t="shared" si="0"/>
        <v>94.333333333333343</v>
      </c>
    </row>
    <row r="33" spans="1:5" x14ac:dyDescent="0.3">
      <c r="A33" s="3" t="s">
        <v>44</v>
      </c>
      <c r="B33" s="4">
        <f>(13.3*100/150)</f>
        <v>8.8666666666666671</v>
      </c>
      <c r="C33" s="4">
        <f>(11*100/150)</f>
        <v>7.333333333333333</v>
      </c>
      <c r="D33" s="4">
        <v>0</v>
      </c>
      <c r="E33" s="4">
        <f t="shared" si="0"/>
        <v>64.8</v>
      </c>
    </row>
    <row r="34" spans="1:5" x14ac:dyDescent="0.3">
      <c r="A34" s="3" t="s">
        <v>45</v>
      </c>
      <c r="B34" s="4">
        <f>(11.7*100/170)</f>
        <v>6.882352941176471</v>
      </c>
      <c r="C34" s="4">
        <f>(10.2*100/170)</f>
        <v>5.9999999999999991</v>
      </c>
      <c r="D34" s="4">
        <f>(8.5*100/170)</f>
        <v>5</v>
      </c>
      <c r="E34" s="4">
        <f t="shared" si="0"/>
        <v>96.529411764705884</v>
      </c>
    </row>
    <row r="35" spans="1:5" x14ac:dyDescent="0.3">
      <c r="A35" s="3" t="s">
        <v>46</v>
      </c>
      <c r="B35" s="4">
        <f>(10.54*100/170)</f>
        <v>6.2</v>
      </c>
      <c r="C35" s="4">
        <f>(10.54*100/170)</f>
        <v>6.2</v>
      </c>
      <c r="D35" s="4">
        <f>(0.34*100/170)</f>
        <v>0.2</v>
      </c>
      <c r="E35" s="4">
        <f t="shared" si="0"/>
        <v>51.4</v>
      </c>
    </row>
    <row r="36" spans="1:5" x14ac:dyDescent="0.3">
      <c r="A36" s="3" t="s">
        <v>47</v>
      </c>
      <c r="B36" s="4">
        <f>(13*100/33)</f>
        <v>39.393939393939391</v>
      </c>
      <c r="C36" s="4">
        <f>(3.2*100/33)</f>
        <v>9.6969696969696972</v>
      </c>
      <c r="D36" s="4">
        <f>(0.5*100/33)</f>
        <v>1.5151515151515151</v>
      </c>
      <c r="E36" s="4">
        <f t="shared" si="0"/>
        <v>209.99999999999997</v>
      </c>
    </row>
    <row r="37" spans="1:5" x14ac:dyDescent="0.3">
      <c r="A37" s="3" t="s">
        <v>48</v>
      </c>
      <c r="B37" s="4">
        <f>(B26/2)</f>
        <v>36.5</v>
      </c>
      <c r="C37" s="4">
        <f>(C26/2)</f>
        <v>6.25</v>
      </c>
      <c r="D37" s="4">
        <f>(D26/2)</f>
        <v>0.375</v>
      </c>
      <c r="E37" s="4">
        <f t="shared" si="0"/>
        <v>174.375</v>
      </c>
    </row>
    <row r="38" spans="1:5" x14ac:dyDescent="0.3">
      <c r="A38" s="3" t="s">
        <v>49</v>
      </c>
      <c r="B38" s="4">
        <v>10.4</v>
      </c>
      <c r="C38" s="4">
        <v>0.7</v>
      </c>
      <c r="D38" s="4">
        <v>0.2</v>
      </c>
      <c r="E38" s="4">
        <f t="shared" si="0"/>
        <v>46.199999999999996</v>
      </c>
    </row>
    <row r="39" spans="1:5" x14ac:dyDescent="0.3">
      <c r="A39" s="3" t="s">
        <v>50</v>
      </c>
      <c r="B39" s="4">
        <f>(9.6/2)</f>
        <v>4.8</v>
      </c>
      <c r="C39" s="4">
        <f>(6.6/2)</f>
        <v>3.3</v>
      </c>
      <c r="D39" s="4">
        <f>(0.5/2)</f>
        <v>0.25</v>
      </c>
      <c r="E39" s="4">
        <f t="shared" si="0"/>
        <v>34.65</v>
      </c>
    </row>
    <row r="40" spans="1:5" x14ac:dyDescent="0.3">
      <c r="A40" s="3" t="s">
        <v>51</v>
      </c>
      <c r="B40" s="4">
        <f>(36/60*100)</f>
        <v>60</v>
      </c>
      <c r="C40" s="4">
        <f>(11/60*100)</f>
        <v>18.333333333333332</v>
      </c>
      <c r="D40" s="4">
        <f>(8/60*100)</f>
        <v>13.333333333333334</v>
      </c>
      <c r="E40" s="4">
        <f t="shared" si="0"/>
        <v>433.33333333333331</v>
      </c>
    </row>
    <row r="41" spans="1:5" x14ac:dyDescent="0.3">
      <c r="A41" s="3" t="s">
        <v>60</v>
      </c>
      <c r="B41" s="4">
        <f>(23.5/180) *100</f>
        <v>13.055555555555557</v>
      </c>
      <c r="C41" s="4">
        <f>(12/180)*100</f>
        <v>6.666666666666667</v>
      </c>
      <c r="D41" s="4">
        <f>(2.7/180)*100</f>
        <v>1.5000000000000002</v>
      </c>
      <c r="E41" s="4">
        <f t="shared" si="0"/>
        <v>92.3888888888889</v>
      </c>
    </row>
    <row r="42" spans="1:5" x14ac:dyDescent="0.3">
      <c r="A42" s="3" t="s">
        <v>61</v>
      </c>
      <c r="B42" s="4">
        <f>(23/180)*100</f>
        <v>12.777777777777777</v>
      </c>
      <c r="C42" s="4">
        <f>(12/180)*100</f>
        <v>6.666666666666667</v>
      </c>
      <c r="D42" s="4">
        <f>(2.7/180)*100</f>
        <v>1.5000000000000002</v>
      </c>
      <c r="E42" s="4">
        <f t="shared" si="0"/>
        <v>91.277777777777771</v>
      </c>
    </row>
    <row r="43" spans="1:5" x14ac:dyDescent="0.3">
      <c r="A43" s="3" t="s">
        <v>62</v>
      </c>
      <c r="B43" s="4">
        <v>6</v>
      </c>
      <c r="C43" s="4">
        <v>1</v>
      </c>
      <c r="D43" s="4">
        <v>0.3</v>
      </c>
      <c r="E43" s="4">
        <f t="shared" ref="E43:E51" si="1">(B43+C43)*4+D43*9</f>
        <v>30.7</v>
      </c>
    </row>
    <row r="44" spans="1:5" x14ac:dyDescent="0.3">
      <c r="A44" s="3" t="s">
        <v>63</v>
      </c>
      <c r="B44" s="4">
        <v>3.7</v>
      </c>
      <c r="C44" s="4">
        <v>2.6</v>
      </c>
      <c r="D44" s="4">
        <v>0.7</v>
      </c>
      <c r="E44" s="4">
        <f t="shared" si="1"/>
        <v>31.500000000000004</v>
      </c>
    </row>
    <row r="45" spans="1:5" x14ac:dyDescent="0.3">
      <c r="A45" s="3" t="s">
        <v>64</v>
      </c>
      <c r="B45" s="4">
        <v>10</v>
      </c>
      <c r="C45" s="4">
        <v>0.9</v>
      </c>
      <c r="D45" s="4">
        <v>0.2</v>
      </c>
      <c r="E45" s="4">
        <f t="shared" si="1"/>
        <v>45.4</v>
      </c>
    </row>
    <row r="46" spans="1:5" x14ac:dyDescent="0.3">
      <c r="A46" s="3" t="s">
        <v>66</v>
      </c>
      <c r="B46" s="4">
        <f>(9.8/200)*100</f>
        <v>4.9000000000000004</v>
      </c>
      <c r="C46" s="4">
        <f>(5.6/200)*100</f>
        <v>2.8</v>
      </c>
      <c r="D46" s="4">
        <f>(6.2/200)*100</f>
        <v>3.1</v>
      </c>
      <c r="E46" s="4">
        <f t="shared" si="1"/>
        <v>58.7</v>
      </c>
    </row>
    <row r="47" spans="1:5" x14ac:dyDescent="0.3">
      <c r="A47" s="3" t="s">
        <v>67</v>
      </c>
      <c r="B47" s="4">
        <v>1.3</v>
      </c>
      <c r="C47" s="4">
        <v>24.9</v>
      </c>
      <c r="D47" s="4">
        <v>33.1</v>
      </c>
      <c r="E47" s="4">
        <f t="shared" si="1"/>
        <v>402.70000000000005</v>
      </c>
    </row>
    <row r="48" spans="1:5" x14ac:dyDescent="0.3">
      <c r="A48" s="3" t="s">
        <v>68</v>
      </c>
      <c r="B48" s="4">
        <v>2.1</v>
      </c>
      <c r="C48" s="4">
        <v>14.8</v>
      </c>
      <c r="D48" s="4">
        <v>3.8</v>
      </c>
      <c r="E48" s="4">
        <f t="shared" si="1"/>
        <v>101.80000000000001</v>
      </c>
    </row>
    <row r="49" spans="1:5" x14ac:dyDescent="0.3">
      <c r="A49" s="3" t="s">
        <v>69</v>
      </c>
      <c r="B49" s="4">
        <v>14</v>
      </c>
      <c r="C49" s="4">
        <v>0.2</v>
      </c>
      <c r="D49" s="4">
        <v>0.1</v>
      </c>
      <c r="E49" s="4">
        <f t="shared" si="1"/>
        <v>57.699999999999996</v>
      </c>
    </row>
    <row r="50" spans="1:5" ht="28.8" x14ac:dyDescent="0.3">
      <c r="A50" s="11" t="s">
        <v>70</v>
      </c>
      <c r="B50" s="4">
        <v>6</v>
      </c>
      <c r="C50" s="4">
        <v>1</v>
      </c>
      <c r="D50" s="4">
        <v>0.2</v>
      </c>
      <c r="E50" s="4">
        <f t="shared" si="1"/>
        <v>29.8</v>
      </c>
    </row>
    <row r="51" spans="1:5" x14ac:dyDescent="0.3">
      <c r="A51" s="3" t="s">
        <v>71</v>
      </c>
      <c r="B51" s="4">
        <v>4.8</v>
      </c>
      <c r="C51" s="4">
        <v>3.3</v>
      </c>
      <c r="D51" s="4">
        <v>3</v>
      </c>
      <c r="E51" s="4">
        <f t="shared" si="1"/>
        <v>59.4</v>
      </c>
    </row>
    <row r="52" spans="1:5" x14ac:dyDescent="0.3">
      <c r="A52" s="3" t="s">
        <v>72</v>
      </c>
      <c r="B52" s="4">
        <v>63</v>
      </c>
      <c r="C52" s="4">
        <v>7</v>
      </c>
      <c r="D52" s="4">
        <v>21</v>
      </c>
      <c r="E52" s="4">
        <f t="shared" ref="E52:E71" si="2">(B52+C52)*4+D52*9</f>
        <v>469</v>
      </c>
    </row>
    <row r="53" spans="1:5" x14ac:dyDescent="0.3">
      <c r="A53" s="3" t="s">
        <v>73</v>
      </c>
      <c r="B53" s="4">
        <v>26.1</v>
      </c>
      <c r="C53" s="4">
        <v>2.9</v>
      </c>
      <c r="D53" s="4">
        <v>0.4</v>
      </c>
      <c r="E53" s="4">
        <f t="shared" si="2"/>
        <v>119.6</v>
      </c>
    </row>
    <row r="54" spans="1:5" x14ac:dyDescent="0.3">
      <c r="A54" s="3" t="s">
        <v>74</v>
      </c>
      <c r="B54" s="4">
        <f>B53/2</f>
        <v>13.05</v>
      </c>
      <c r="C54" s="4">
        <f>C53/2</f>
        <v>1.45</v>
      </c>
      <c r="D54" s="4">
        <f>D53/2</f>
        <v>0.2</v>
      </c>
      <c r="E54" s="4">
        <f t="shared" si="2"/>
        <v>59.8</v>
      </c>
    </row>
    <row r="55" spans="1:5" x14ac:dyDescent="0.3">
      <c r="A55" s="3" t="s">
        <v>77</v>
      </c>
      <c r="B55" s="4">
        <v>0</v>
      </c>
      <c r="C55" s="4">
        <v>0</v>
      </c>
      <c r="D55" s="4">
        <v>80</v>
      </c>
      <c r="E55" s="4">
        <f t="shared" si="2"/>
        <v>720</v>
      </c>
    </row>
    <row r="56" spans="1:5" x14ac:dyDescent="0.3">
      <c r="A56" s="3" t="s">
        <v>75</v>
      </c>
      <c r="B56" s="4">
        <v>0</v>
      </c>
      <c r="C56" s="4">
        <v>0</v>
      </c>
      <c r="D56" s="4">
        <v>93</v>
      </c>
      <c r="E56" s="4">
        <f t="shared" si="2"/>
        <v>837</v>
      </c>
    </row>
    <row r="57" spans="1:5" x14ac:dyDescent="0.3">
      <c r="A57" s="3"/>
      <c r="B57" s="4"/>
      <c r="C57" s="4"/>
      <c r="D57" s="4"/>
      <c r="E57" s="4">
        <f t="shared" si="2"/>
        <v>0</v>
      </c>
    </row>
    <row r="58" spans="1:5" x14ac:dyDescent="0.3">
      <c r="A58" s="3"/>
      <c r="B58" s="4"/>
      <c r="C58" s="4"/>
      <c r="D58" s="4"/>
      <c r="E58" s="4">
        <f t="shared" si="2"/>
        <v>0</v>
      </c>
    </row>
    <row r="59" spans="1:5" x14ac:dyDescent="0.3">
      <c r="A59" s="3"/>
      <c r="B59" s="4"/>
      <c r="C59" s="4"/>
      <c r="D59" s="4"/>
      <c r="E59" s="4">
        <f t="shared" si="2"/>
        <v>0</v>
      </c>
    </row>
    <row r="60" spans="1:5" x14ac:dyDescent="0.3">
      <c r="A60" s="3"/>
      <c r="B60" s="4"/>
      <c r="C60" s="4"/>
      <c r="D60" s="4"/>
      <c r="E60" s="4">
        <f t="shared" si="2"/>
        <v>0</v>
      </c>
    </row>
    <row r="61" spans="1:5" x14ac:dyDescent="0.3">
      <c r="A61" s="3"/>
      <c r="B61" s="4"/>
      <c r="C61" s="4"/>
      <c r="D61" s="4"/>
      <c r="E61" s="4">
        <f t="shared" si="2"/>
        <v>0</v>
      </c>
    </row>
    <row r="62" spans="1:5" x14ac:dyDescent="0.3">
      <c r="A62" s="3"/>
      <c r="B62" s="4"/>
      <c r="C62" s="4"/>
      <c r="D62" s="4"/>
      <c r="E62" s="4">
        <f t="shared" si="2"/>
        <v>0</v>
      </c>
    </row>
    <row r="63" spans="1:5" x14ac:dyDescent="0.3">
      <c r="A63" s="3"/>
      <c r="B63" s="4"/>
      <c r="C63" s="4"/>
      <c r="D63" s="4"/>
      <c r="E63" s="4">
        <f t="shared" si="2"/>
        <v>0</v>
      </c>
    </row>
    <row r="64" spans="1:5" x14ac:dyDescent="0.3">
      <c r="A64" s="3"/>
      <c r="B64" s="4"/>
      <c r="C64" s="4"/>
      <c r="D64" s="4"/>
      <c r="E64" s="4">
        <f t="shared" si="2"/>
        <v>0</v>
      </c>
    </row>
    <row r="65" spans="1:5" x14ac:dyDescent="0.3">
      <c r="A65" s="3"/>
      <c r="B65" s="4"/>
      <c r="C65" s="4"/>
      <c r="D65" s="4"/>
      <c r="E65" s="4">
        <f t="shared" si="2"/>
        <v>0</v>
      </c>
    </row>
    <row r="66" spans="1:5" x14ac:dyDescent="0.3">
      <c r="A66" s="3"/>
      <c r="B66" s="4"/>
      <c r="C66" s="4"/>
      <c r="D66" s="4"/>
      <c r="E66" s="4">
        <f t="shared" si="2"/>
        <v>0</v>
      </c>
    </row>
    <row r="67" spans="1:5" x14ac:dyDescent="0.3">
      <c r="A67" s="3"/>
      <c r="B67" s="4"/>
      <c r="C67" s="4"/>
      <c r="D67" s="4"/>
      <c r="E67" s="4">
        <f t="shared" si="2"/>
        <v>0</v>
      </c>
    </row>
    <row r="68" spans="1:5" x14ac:dyDescent="0.3">
      <c r="A68" s="3"/>
      <c r="B68" s="4"/>
      <c r="C68" s="4"/>
      <c r="D68" s="4"/>
      <c r="E68" s="4">
        <f t="shared" si="2"/>
        <v>0</v>
      </c>
    </row>
    <row r="69" spans="1:5" x14ac:dyDescent="0.3">
      <c r="A69" s="3"/>
      <c r="B69" s="4"/>
      <c r="C69" s="4"/>
      <c r="D69" s="4"/>
      <c r="E69" s="4">
        <f t="shared" si="2"/>
        <v>0</v>
      </c>
    </row>
    <row r="70" spans="1:5" x14ac:dyDescent="0.3">
      <c r="A70" s="3"/>
      <c r="B70" s="4"/>
      <c r="C70" s="4"/>
      <c r="D70" s="4"/>
      <c r="E70" s="4">
        <f t="shared" si="2"/>
        <v>0</v>
      </c>
    </row>
    <row r="71" spans="1:5" x14ac:dyDescent="0.3">
      <c r="A71" s="3"/>
      <c r="B71" s="4"/>
      <c r="C71" s="4"/>
      <c r="D71" s="4"/>
      <c r="E71" s="4">
        <f t="shared" si="2"/>
        <v>0</v>
      </c>
    </row>
    <row r="72" spans="1:5" x14ac:dyDescent="0.3">
      <c r="A72" s="3"/>
      <c r="B72" s="4"/>
      <c r="C72" s="4"/>
      <c r="D72" s="4"/>
      <c r="E72" s="4">
        <f t="shared" ref="E72:E135" si="3">(B72+C72)*4+D72*9</f>
        <v>0</v>
      </c>
    </row>
    <row r="73" spans="1:5" x14ac:dyDescent="0.3">
      <c r="A73" s="3"/>
      <c r="B73" s="4"/>
      <c r="C73" s="4"/>
      <c r="D73" s="4"/>
      <c r="E73" s="4">
        <f t="shared" si="3"/>
        <v>0</v>
      </c>
    </row>
    <row r="74" spans="1:5" x14ac:dyDescent="0.3">
      <c r="A74" s="3"/>
      <c r="B74" s="4"/>
      <c r="C74" s="4"/>
      <c r="D74" s="4"/>
      <c r="E74" s="4">
        <f t="shared" si="3"/>
        <v>0</v>
      </c>
    </row>
    <row r="75" spans="1:5" x14ac:dyDescent="0.3">
      <c r="A75" s="3"/>
      <c r="B75" s="4"/>
      <c r="C75" s="4"/>
      <c r="D75" s="4"/>
      <c r="E75" s="4">
        <f t="shared" si="3"/>
        <v>0</v>
      </c>
    </row>
    <row r="76" spans="1:5" x14ac:dyDescent="0.3">
      <c r="A76" s="3"/>
      <c r="B76" s="4"/>
      <c r="C76" s="4"/>
      <c r="D76" s="4"/>
      <c r="E76" s="4">
        <f t="shared" si="3"/>
        <v>0</v>
      </c>
    </row>
    <row r="77" spans="1:5" x14ac:dyDescent="0.3">
      <c r="A77" s="3"/>
      <c r="B77" s="4"/>
      <c r="C77" s="4"/>
      <c r="D77" s="4"/>
      <c r="E77" s="4">
        <f t="shared" si="3"/>
        <v>0</v>
      </c>
    </row>
    <row r="78" spans="1:5" x14ac:dyDescent="0.3">
      <c r="A78" s="3"/>
      <c r="B78" s="4"/>
      <c r="C78" s="4"/>
      <c r="D78" s="4"/>
      <c r="E78" s="4">
        <f t="shared" si="3"/>
        <v>0</v>
      </c>
    </row>
    <row r="79" spans="1:5" x14ac:dyDescent="0.3">
      <c r="A79" s="3"/>
      <c r="B79" s="4"/>
      <c r="C79" s="4"/>
      <c r="D79" s="4"/>
      <c r="E79" s="4">
        <f t="shared" si="3"/>
        <v>0</v>
      </c>
    </row>
    <row r="80" spans="1:5" x14ac:dyDescent="0.3">
      <c r="A80" s="3"/>
      <c r="B80" s="4"/>
      <c r="C80" s="4"/>
      <c r="D80" s="4"/>
      <c r="E80" s="4">
        <f t="shared" si="3"/>
        <v>0</v>
      </c>
    </row>
    <row r="81" spans="1:5" x14ac:dyDescent="0.3">
      <c r="A81" s="3"/>
      <c r="B81" s="4"/>
      <c r="C81" s="4"/>
      <c r="D81" s="4"/>
      <c r="E81" s="4">
        <f t="shared" si="3"/>
        <v>0</v>
      </c>
    </row>
    <row r="82" spans="1:5" x14ac:dyDescent="0.3">
      <c r="A82" s="3"/>
      <c r="B82" s="4"/>
      <c r="C82" s="4"/>
      <c r="D82" s="4"/>
      <c r="E82" s="4">
        <f t="shared" si="3"/>
        <v>0</v>
      </c>
    </row>
    <row r="83" spans="1:5" x14ac:dyDescent="0.3">
      <c r="A83" s="3"/>
      <c r="B83" s="4"/>
      <c r="C83" s="4"/>
      <c r="D83" s="4"/>
      <c r="E83" s="4">
        <f t="shared" si="3"/>
        <v>0</v>
      </c>
    </row>
    <row r="84" spans="1:5" x14ac:dyDescent="0.3">
      <c r="A84" s="3"/>
      <c r="B84" s="4"/>
      <c r="C84" s="4"/>
      <c r="D84" s="4"/>
      <c r="E84" s="4">
        <f t="shared" si="3"/>
        <v>0</v>
      </c>
    </row>
    <row r="85" spans="1:5" x14ac:dyDescent="0.3">
      <c r="A85" s="3"/>
      <c r="B85" s="4"/>
      <c r="C85" s="4"/>
      <c r="D85" s="4"/>
      <c r="E85" s="4">
        <f t="shared" si="3"/>
        <v>0</v>
      </c>
    </row>
    <row r="86" spans="1:5" x14ac:dyDescent="0.3">
      <c r="A86" s="3"/>
      <c r="B86" s="4"/>
      <c r="C86" s="4"/>
      <c r="D86" s="4"/>
      <c r="E86" s="4">
        <f t="shared" si="3"/>
        <v>0</v>
      </c>
    </row>
    <row r="87" spans="1:5" x14ac:dyDescent="0.3">
      <c r="A87" s="3"/>
      <c r="B87" s="4"/>
      <c r="C87" s="4"/>
      <c r="D87" s="4"/>
      <c r="E87" s="4">
        <f t="shared" si="3"/>
        <v>0</v>
      </c>
    </row>
    <row r="88" spans="1:5" x14ac:dyDescent="0.3">
      <c r="A88" s="3"/>
      <c r="B88" s="4"/>
      <c r="C88" s="4"/>
      <c r="D88" s="4"/>
      <c r="E88" s="4">
        <f t="shared" si="3"/>
        <v>0</v>
      </c>
    </row>
    <row r="89" spans="1:5" x14ac:dyDescent="0.3">
      <c r="A89" s="3"/>
      <c r="B89" s="4"/>
      <c r="C89" s="4"/>
      <c r="D89" s="4"/>
      <c r="E89" s="4">
        <f t="shared" si="3"/>
        <v>0</v>
      </c>
    </row>
    <row r="90" spans="1:5" x14ac:dyDescent="0.3">
      <c r="A90" s="3"/>
      <c r="B90" s="4"/>
      <c r="C90" s="4"/>
      <c r="D90" s="4"/>
      <c r="E90" s="4">
        <f t="shared" si="3"/>
        <v>0</v>
      </c>
    </row>
    <row r="91" spans="1:5" x14ac:dyDescent="0.3">
      <c r="A91" s="3"/>
      <c r="B91" s="4"/>
      <c r="C91" s="4"/>
      <c r="D91" s="4"/>
      <c r="E91" s="4">
        <f t="shared" si="3"/>
        <v>0</v>
      </c>
    </row>
    <row r="92" spans="1:5" x14ac:dyDescent="0.3">
      <c r="A92" s="3"/>
      <c r="B92" s="4"/>
      <c r="C92" s="4"/>
      <c r="D92" s="4"/>
      <c r="E92" s="4">
        <f t="shared" si="3"/>
        <v>0</v>
      </c>
    </row>
    <row r="93" spans="1:5" x14ac:dyDescent="0.3">
      <c r="A93" s="3"/>
      <c r="B93" s="4"/>
      <c r="C93" s="4"/>
      <c r="D93" s="4"/>
      <c r="E93" s="4">
        <f t="shared" si="3"/>
        <v>0</v>
      </c>
    </row>
    <row r="94" spans="1:5" x14ac:dyDescent="0.3">
      <c r="A94" s="3"/>
      <c r="B94" s="4"/>
      <c r="C94" s="4"/>
      <c r="D94" s="4"/>
      <c r="E94" s="4">
        <f t="shared" si="3"/>
        <v>0</v>
      </c>
    </row>
    <row r="95" spans="1:5" x14ac:dyDescent="0.3">
      <c r="A95" s="3"/>
      <c r="B95" s="4"/>
      <c r="C95" s="4"/>
      <c r="D95" s="4"/>
      <c r="E95" s="4">
        <f t="shared" si="3"/>
        <v>0</v>
      </c>
    </row>
    <row r="96" spans="1:5" x14ac:dyDescent="0.3">
      <c r="A96" s="3"/>
      <c r="B96" s="4"/>
      <c r="C96" s="4"/>
      <c r="D96" s="4"/>
      <c r="E96" s="4">
        <f t="shared" si="3"/>
        <v>0</v>
      </c>
    </row>
    <row r="97" spans="1:5" x14ac:dyDescent="0.3">
      <c r="A97" s="3"/>
      <c r="B97" s="4"/>
      <c r="C97" s="4"/>
      <c r="D97" s="4"/>
      <c r="E97" s="4">
        <f t="shared" si="3"/>
        <v>0</v>
      </c>
    </row>
    <row r="98" spans="1:5" x14ac:dyDescent="0.3">
      <c r="A98" s="3"/>
      <c r="B98" s="4"/>
      <c r="C98" s="4"/>
      <c r="D98" s="4"/>
      <c r="E98" s="4">
        <f t="shared" si="3"/>
        <v>0</v>
      </c>
    </row>
    <row r="99" spans="1:5" x14ac:dyDescent="0.3">
      <c r="A99" s="3"/>
      <c r="B99" s="4"/>
      <c r="C99" s="4"/>
      <c r="D99" s="4"/>
      <c r="E99" s="4">
        <f t="shared" si="3"/>
        <v>0</v>
      </c>
    </row>
    <row r="100" spans="1:5" x14ac:dyDescent="0.3">
      <c r="A100" s="3"/>
      <c r="B100" s="4"/>
      <c r="C100" s="4"/>
      <c r="D100" s="4"/>
      <c r="E100" s="4">
        <f t="shared" si="3"/>
        <v>0</v>
      </c>
    </row>
    <row r="101" spans="1:5" x14ac:dyDescent="0.3">
      <c r="A101" s="3"/>
      <c r="B101" s="4"/>
      <c r="C101" s="4"/>
      <c r="D101" s="4"/>
      <c r="E101" s="4">
        <f t="shared" si="3"/>
        <v>0</v>
      </c>
    </row>
    <row r="102" spans="1:5" x14ac:dyDescent="0.3">
      <c r="A102" s="3"/>
      <c r="B102" s="4"/>
      <c r="C102" s="4"/>
      <c r="D102" s="4"/>
      <c r="E102" s="4">
        <f t="shared" si="3"/>
        <v>0</v>
      </c>
    </row>
    <row r="103" spans="1:5" x14ac:dyDescent="0.3">
      <c r="A103" s="3"/>
      <c r="B103" s="4"/>
      <c r="C103" s="4"/>
      <c r="D103" s="4"/>
      <c r="E103" s="4">
        <f t="shared" si="3"/>
        <v>0</v>
      </c>
    </row>
    <row r="104" spans="1:5" x14ac:dyDescent="0.3">
      <c r="A104" s="3"/>
      <c r="B104" s="4"/>
      <c r="C104" s="4"/>
      <c r="D104" s="4"/>
      <c r="E104" s="4">
        <f t="shared" si="3"/>
        <v>0</v>
      </c>
    </row>
    <row r="105" spans="1:5" x14ac:dyDescent="0.3">
      <c r="A105" s="3"/>
      <c r="B105" s="4"/>
      <c r="C105" s="4"/>
      <c r="D105" s="4"/>
      <c r="E105" s="4">
        <f t="shared" si="3"/>
        <v>0</v>
      </c>
    </row>
    <row r="106" spans="1:5" x14ac:dyDescent="0.3">
      <c r="A106" s="3"/>
      <c r="B106" s="4"/>
      <c r="C106" s="4"/>
      <c r="D106" s="4"/>
      <c r="E106" s="4">
        <f t="shared" si="3"/>
        <v>0</v>
      </c>
    </row>
    <row r="107" spans="1:5" x14ac:dyDescent="0.3">
      <c r="A107" s="3"/>
      <c r="B107" s="4"/>
      <c r="C107" s="4"/>
      <c r="D107" s="4"/>
      <c r="E107" s="4">
        <f t="shared" si="3"/>
        <v>0</v>
      </c>
    </row>
    <row r="108" spans="1:5" x14ac:dyDescent="0.3">
      <c r="A108" s="3"/>
      <c r="B108" s="4"/>
      <c r="C108" s="4"/>
      <c r="D108" s="4"/>
      <c r="E108" s="4">
        <f t="shared" si="3"/>
        <v>0</v>
      </c>
    </row>
    <row r="109" spans="1:5" x14ac:dyDescent="0.3">
      <c r="A109" s="3"/>
      <c r="B109" s="4"/>
      <c r="C109" s="4"/>
      <c r="D109" s="4"/>
      <c r="E109" s="4">
        <f t="shared" si="3"/>
        <v>0</v>
      </c>
    </row>
    <row r="110" spans="1:5" x14ac:dyDescent="0.3">
      <c r="A110" s="3"/>
      <c r="B110" s="4"/>
      <c r="C110" s="4"/>
      <c r="D110" s="4"/>
      <c r="E110" s="4">
        <f t="shared" si="3"/>
        <v>0</v>
      </c>
    </row>
    <row r="111" spans="1:5" x14ac:dyDescent="0.3">
      <c r="A111" s="3"/>
      <c r="B111" s="4"/>
      <c r="C111" s="4"/>
      <c r="D111" s="4"/>
      <c r="E111" s="4">
        <f t="shared" si="3"/>
        <v>0</v>
      </c>
    </row>
    <row r="112" spans="1:5" x14ac:dyDescent="0.3">
      <c r="A112" s="3"/>
      <c r="B112" s="4"/>
      <c r="C112" s="4"/>
      <c r="D112" s="4"/>
      <c r="E112" s="4">
        <f t="shared" si="3"/>
        <v>0</v>
      </c>
    </row>
    <row r="113" spans="1:5" x14ac:dyDescent="0.3">
      <c r="A113" s="3"/>
      <c r="B113" s="4"/>
      <c r="C113" s="4"/>
      <c r="D113" s="4"/>
      <c r="E113" s="4">
        <f t="shared" si="3"/>
        <v>0</v>
      </c>
    </row>
    <row r="114" spans="1:5" x14ac:dyDescent="0.3">
      <c r="A114" s="3"/>
      <c r="B114" s="4"/>
      <c r="C114" s="4"/>
      <c r="D114" s="4"/>
      <c r="E114" s="4">
        <f t="shared" si="3"/>
        <v>0</v>
      </c>
    </row>
    <row r="115" spans="1:5" x14ac:dyDescent="0.3">
      <c r="A115" s="3"/>
      <c r="B115" s="4"/>
      <c r="C115" s="4"/>
      <c r="D115" s="4"/>
      <c r="E115" s="4">
        <f t="shared" si="3"/>
        <v>0</v>
      </c>
    </row>
    <row r="116" spans="1:5" x14ac:dyDescent="0.3">
      <c r="A116" s="3"/>
      <c r="B116" s="4"/>
      <c r="C116" s="4"/>
      <c r="D116" s="4"/>
      <c r="E116" s="4">
        <f t="shared" si="3"/>
        <v>0</v>
      </c>
    </row>
    <row r="117" spans="1:5" x14ac:dyDescent="0.3">
      <c r="A117" s="3"/>
      <c r="B117" s="4"/>
      <c r="C117" s="4"/>
      <c r="D117" s="4"/>
      <c r="E117" s="4">
        <f t="shared" si="3"/>
        <v>0</v>
      </c>
    </row>
    <row r="118" spans="1:5" x14ac:dyDescent="0.3">
      <c r="A118" s="3"/>
      <c r="B118" s="4"/>
      <c r="C118" s="4"/>
      <c r="D118" s="4"/>
      <c r="E118" s="4">
        <f t="shared" si="3"/>
        <v>0</v>
      </c>
    </row>
    <row r="119" spans="1:5" x14ac:dyDescent="0.3">
      <c r="A119" s="3"/>
      <c r="B119" s="4"/>
      <c r="C119" s="4"/>
      <c r="D119" s="4"/>
      <c r="E119" s="4">
        <f t="shared" si="3"/>
        <v>0</v>
      </c>
    </row>
    <row r="120" spans="1:5" x14ac:dyDescent="0.3">
      <c r="A120" s="3"/>
      <c r="B120" s="4"/>
      <c r="C120" s="4"/>
      <c r="D120" s="4"/>
      <c r="E120" s="4">
        <f t="shared" si="3"/>
        <v>0</v>
      </c>
    </row>
    <row r="121" spans="1:5" x14ac:dyDescent="0.3">
      <c r="A121" s="3"/>
      <c r="B121" s="4"/>
      <c r="C121" s="4"/>
      <c r="D121" s="4"/>
      <c r="E121" s="4">
        <f t="shared" si="3"/>
        <v>0</v>
      </c>
    </row>
    <row r="122" spans="1:5" x14ac:dyDescent="0.3">
      <c r="A122" s="3"/>
      <c r="B122" s="4"/>
      <c r="C122" s="4"/>
      <c r="D122" s="4"/>
      <c r="E122" s="4">
        <f t="shared" si="3"/>
        <v>0</v>
      </c>
    </row>
    <row r="123" spans="1:5" x14ac:dyDescent="0.3">
      <c r="A123" s="3"/>
      <c r="B123" s="4"/>
      <c r="C123" s="4"/>
      <c r="D123" s="4"/>
      <c r="E123" s="4">
        <f t="shared" si="3"/>
        <v>0</v>
      </c>
    </row>
    <row r="124" spans="1:5" x14ac:dyDescent="0.3">
      <c r="A124" s="3"/>
      <c r="B124" s="4"/>
      <c r="C124" s="4"/>
      <c r="D124" s="4"/>
      <c r="E124" s="4">
        <f t="shared" si="3"/>
        <v>0</v>
      </c>
    </row>
    <row r="125" spans="1:5" x14ac:dyDescent="0.3">
      <c r="A125" s="3"/>
      <c r="B125" s="4"/>
      <c r="C125" s="4"/>
      <c r="D125" s="4"/>
      <c r="E125" s="4">
        <f t="shared" si="3"/>
        <v>0</v>
      </c>
    </row>
    <row r="126" spans="1:5" x14ac:dyDescent="0.3">
      <c r="A126" s="3"/>
      <c r="B126" s="4"/>
      <c r="C126" s="4"/>
      <c r="D126" s="4"/>
      <c r="E126" s="4">
        <f t="shared" si="3"/>
        <v>0</v>
      </c>
    </row>
    <row r="127" spans="1:5" x14ac:dyDescent="0.3">
      <c r="A127" s="3"/>
      <c r="B127" s="4"/>
      <c r="C127" s="4"/>
      <c r="D127" s="4"/>
      <c r="E127" s="4">
        <f t="shared" si="3"/>
        <v>0</v>
      </c>
    </row>
    <row r="128" spans="1:5" x14ac:dyDescent="0.3">
      <c r="A128" s="3"/>
      <c r="B128" s="4"/>
      <c r="C128" s="4"/>
      <c r="D128" s="4"/>
      <c r="E128" s="4">
        <f t="shared" si="3"/>
        <v>0</v>
      </c>
    </row>
    <row r="129" spans="1:5" x14ac:dyDescent="0.3">
      <c r="A129" s="3"/>
      <c r="B129" s="4"/>
      <c r="C129" s="4"/>
      <c r="D129" s="4"/>
      <c r="E129" s="4">
        <f t="shared" si="3"/>
        <v>0</v>
      </c>
    </row>
    <row r="130" spans="1:5" x14ac:dyDescent="0.3">
      <c r="A130" s="3"/>
      <c r="B130" s="4"/>
      <c r="C130" s="4"/>
      <c r="D130" s="4"/>
      <c r="E130" s="4">
        <f t="shared" si="3"/>
        <v>0</v>
      </c>
    </row>
    <row r="131" spans="1:5" x14ac:dyDescent="0.3">
      <c r="A131" s="3"/>
      <c r="B131" s="4"/>
      <c r="C131" s="4"/>
      <c r="D131" s="4"/>
      <c r="E131" s="4">
        <f t="shared" si="3"/>
        <v>0</v>
      </c>
    </row>
    <row r="132" spans="1:5" x14ac:dyDescent="0.3">
      <c r="A132" s="3"/>
      <c r="B132" s="4"/>
      <c r="C132" s="4"/>
      <c r="D132" s="4"/>
      <c r="E132" s="4">
        <f t="shared" si="3"/>
        <v>0</v>
      </c>
    </row>
    <row r="133" spans="1:5" x14ac:dyDescent="0.3">
      <c r="A133" s="3"/>
      <c r="B133" s="4"/>
      <c r="C133" s="4"/>
      <c r="D133" s="4"/>
      <c r="E133" s="4">
        <f t="shared" si="3"/>
        <v>0</v>
      </c>
    </row>
    <row r="134" spans="1:5" x14ac:dyDescent="0.3">
      <c r="A134" s="3"/>
      <c r="B134" s="4"/>
      <c r="C134" s="4"/>
      <c r="D134" s="4"/>
      <c r="E134" s="4">
        <f t="shared" si="3"/>
        <v>0</v>
      </c>
    </row>
    <row r="135" spans="1:5" x14ac:dyDescent="0.3">
      <c r="A135" s="3"/>
      <c r="B135" s="4"/>
      <c r="C135" s="4"/>
      <c r="D135" s="4"/>
      <c r="E135" s="4">
        <f t="shared" si="3"/>
        <v>0</v>
      </c>
    </row>
    <row r="136" spans="1:5" x14ac:dyDescent="0.3">
      <c r="A136" s="3"/>
      <c r="B136" s="4"/>
      <c r="C136" s="4"/>
      <c r="D136" s="4"/>
      <c r="E136" s="4">
        <f t="shared" ref="E136:E186" si="4">(B136+C136)*4+D136*9</f>
        <v>0</v>
      </c>
    </row>
    <row r="137" spans="1:5" x14ac:dyDescent="0.3">
      <c r="A137" s="3"/>
      <c r="B137" s="4"/>
      <c r="C137" s="4"/>
      <c r="D137" s="4"/>
      <c r="E137" s="4">
        <f t="shared" si="4"/>
        <v>0</v>
      </c>
    </row>
    <row r="138" spans="1:5" x14ac:dyDescent="0.3">
      <c r="A138" s="3"/>
      <c r="B138" s="4"/>
      <c r="C138" s="4"/>
      <c r="D138" s="4"/>
      <c r="E138" s="4">
        <f t="shared" si="4"/>
        <v>0</v>
      </c>
    </row>
    <row r="139" spans="1:5" x14ac:dyDescent="0.3">
      <c r="A139" s="3"/>
      <c r="B139" s="4"/>
      <c r="C139" s="4"/>
      <c r="D139" s="4"/>
      <c r="E139" s="4">
        <f t="shared" si="4"/>
        <v>0</v>
      </c>
    </row>
    <row r="140" spans="1:5" x14ac:dyDescent="0.3">
      <c r="A140" s="3"/>
      <c r="B140" s="4"/>
      <c r="C140" s="4"/>
      <c r="D140" s="4"/>
      <c r="E140" s="4">
        <f t="shared" si="4"/>
        <v>0</v>
      </c>
    </row>
    <row r="141" spans="1:5" x14ac:dyDescent="0.3">
      <c r="A141" s="3"/>
      <c r="B141" s="4"/>
      <c r="C141" s="4"/>
      <c r="D141" s="4"/>
      <c r="E141" s="4">
        <f t="shared" si="4"/>
        <v>0</v>
      </c>
    </row>
    <row r="142" spans="1:5" x14ac:dyDescent="0.3">
      <c r="A142" s="3"/>
      <c r="B142" s="4"/>
      <c r="C142" s="4"/>
      <c r="D142" s="4"/>
      <c r="E142" s="4">
        <f t="shared" si="4"/>
        <v>0</v>
      </c>
    </row>
    <row r="143" spans="1:5" x14ac:dyDescent="0.3">
      <c r="A143" s="3"/>
      <c r="B143" s="4"/>
      <c r="C143" s="4"/>
      <c r="D143" s="4"/>
      <c r="E143" s="4">
        <f t="shared" si="4"/>
        <v>0</v>
      </c>
    </row>
    <row r="144" spans="1:5" x14ac:dyDescent="0.3">
      <c r="A144" s="3"/>
      <c r="B144" s="4"/>
      <c r="C144" s="4"/>
      <c r="D144" s="4"/>
      <c r="E144" s="4">
        <f t="shared" si="4"/>
        <v>0</v>
      </c>
    </row>
    <row r="145" spans="1:5" x14ac:dyDescent="0.3">
      <c r="A145" s="3"/>
      <c r="B145" s="4"/>
      <c r="C145" s="4"/>
      <c r="D145" s="4"/>
      <c r="E145" s="4">
        <f t="shared" si="4"/>
        <v>0</v>
      </c>
    </row>
    <row r="146" spans="1:5" x14ac:dyDescent="0.3">
      <c r="A146" s="3"/>
      <c r="B146" s="4"/>
      <c r="C146" s="4"/>
      <c r="D146" s="4"/>
      <c r="E146" s="4">
        <f t="shared" si="4"/>
        <v>0</v>
      </c>
    </row>
    <row r="147" spans="1:5" x14ac:dyDescent="0.3">
      <c r="A147" s="3"/>
      <c r="B147" s="4"/>
      <c r="C147" s="4"/>
      <c r="D147" s="4"/>
      <c r="E147" s="4">
        <f t="shared" si="4"/>
        <v>0</v>
      </c>
    </row>
    <row r="148" spans="1:5" x14ac:dyDescent="0.3">
      <c r="A148" s="3"/>
      <c r="B148" s="4"/>
      <c r="C148" s="4"/>
      <c r="D148" s="4"/>
      <c r="E148" s="4">
        <f t="shared" si="4"/>
        <v>0</v>
      </c>
    </row>
    <row r="149" spans="1:5" x14ac:dyDescent="0.3">
      <c r="A149" s="3"/>
      <c r="B149" s="4"/>
      <c r="C149" s="4"/>
      <c r="D149" s="4"/>
      <c r="E149" s="4">
        <f t="shared" si="4"/>
        <v>0</v>
      </c>
    </row>
    <row r="150" spans="1:5" x14ac:dyDescent="0.3">
      <c r="A150" s="3"/>
      <c r="B150" s="4"/>
      <c r="C150" s="4"/>
      <c r="D150" s="4"/>
      <c r="E150" s="4">
        <f t="shared" si="4"/>
        <v>0</v>
      </c>
    </row>
    <row r="151" spans="1:5" x14ac:dyDescent="0.3">
      <c r="A151" s="3"/>
      <c r="B151" s="4"/>
      <c r="C151" s="4"/>
      <c r="D151" s="4"/>
      <c r="E151" s="4">
        <f t="shared" si="4"/>
        <v>0</v>
      </c>
    </row>
    <row r="152" spans="1:5" x14ac:dyDescent="0.3">
      <c r="A152" s="3"/>
      <c r="B152" s="4"/>
      <c r="C152" s="4"/>
      <c r="D152" s="4"/>
      <c r="E152" s="4">
        <f t="shared" si="4"/>
        <v>0</v>
      </c>
    </row>
    <row r="153" spans="1:5" x14ac:dyDescent="0.3">
      <c r="A153" s="3"/>
      <c r="B153" s="4"/>
      <c r="C153" s="4"/>
      <c r="D153" s="4"/>
      <c r="E153" s="4">
        <f t="shared" si="4"/>
        <v>0</v>
      </c>
    </row>
    <row r="154" spans="1:5" x14ac:dyDescent="0.3">
      <c r="A154" s="3"/>
      <c r="B154" s="4"/>
      <c r="C154" s="4"/>
      <c r="D154" s="4"/>
      <c r="E154" s="4">
        <f t="shared" si="4"/>
        <v>0</v>
      </c>
    </row>
    <row r="155" spans="1:5" x14ac:dyDescent="0.3">
      <c r="A155" s="3"/>
      <c r="B155" s="4"/>
      <c r="C155" s="4"/>
      <c r="D155" s="4"/>
      <c r="E155" s="4">
        <f t="shared" si="4"/>
        <v>0</v>
      </c>
    </row>
    <row r="156" spans="1:5" x14ac:dyDescent="0.3">
      <c r="A156" s="3"/>
      <c r="B156" s="4"/>
      <c r="C156" s="4"/>
      <c r="D156" s="4"/>
      <c r="E156" s="4">
        <f t="shared" si="4"/>
        <v>0</v>
      </c>
    </row>
    <row r="157" spans="1:5" x14ac:dyDescent="0.3">
      <c r="A157" s="3"/>
      <c r="B157" s="4"/>
      <c r="C157" s="4"/>
      <c r="D157" s="4"/>
      <c r="E157" s="4">
        <f t="shared" si="4"/>
        <v>0</v>
      </c>
    </row>
    <row r="158" spans="1:5" x14ac:dyDescent="0.3">
      <c r="A158" s="3"/>
      <c r="B158" s="4"/>
      <c r="C158" s="4"/>
      <c r="D158" s="4"/>
      <c r="E158" s="4">
        <f t="shared" si="4"/>
        <v>0</v>
      </c>
    </row>
    <row r="159" spans="1:5" x14ac:dyDescent="0.3">
      <c r="A159" s="3"/>
      <c r="B159" s="4"/>
      <c r="C159" s="4"/>
      <c r="D159" s="4"/>
      <c r="E159" s="4">
        <f t="shared" si="4"/>
        <v>0</v>
      </c>
    </row>
    <row r="160" spans="1:5" x14ac:dyDescent="0.3">
      <c r="A160" s="3"/>
      <c r="B160" s="4"/>
      <c r="C160" s="4"/>
      <c r="D160" s="4"/>
      <c r="E160" s="4">
        <f t="shared" si="4"/>
        <v>0</v>
      </c>
    </row>
    <row r="161" spans="1:5" x14ac:dyDescent="0.3">
      <c r="A161" s="3"/>
      <c r="B161" s="4"/>
      <c r="C161" s="4"/>
      <c r="D161" s="4"/>
      <c r="E161" s="4">
        <f t="shared" si="4"/>
        <v>0</v>
      </c>
    </row>
    <row r="162" spans="1:5" x14ac:dyDescent="0.3">
      <c r="A162" s="3"/>
      <c r="B162" s="4"/>
      <c r="C162" s="4"/>
      <c r="D162" s="4"/>
      <c r="E162" s="4">
        <f t="shared" si="4"/>
        <v>0</v>
      </c>
    </row>
    <row r="163" spans="1:5" x14ac:dyDescent="0.3">
      <c r="A163" s="3"/>
      <c r="B163" s="4"/>
      <c r="C163" s="4"/>
      <c r="D163" s="4"/>
      <c r="E163" s="4">
        <f t="shared" si="4"/>
        <v>0</v>
      </c>
    </row>
    <row r="164" spans="1:5" x14ac:dyDescent="0.3">
      <c r="A164" s="3"/>
      <c r="B164" s="4"/>
      <c r="C164" s="4"/>
      <c r="D164" s="4"/>
      <c r="E164" s="4">
        <f t="shared" si="4"/>
        <v>0</v>
      </c>
    </row>
    <row r="165" spans="1:5" x14ac:dyDescent="0.3">
      <c r="A165" s="3"/>
      <c r="B165" s="4"/>
      <c r="C165" s="4"/>
      <c r="D165" s="4"/>
      <c r="E165" s="4">
        <f t="shared" si="4"/>
        <v>0</v>
      </c>
    </row>
    <row r="166" spans="1:5" x14ac:dyDescent="0.3">
      <c r="A166" s="3"/>
      <c r="B166" s="4"/>
      <c r="C166" s="4"/>
      <c r="D166" s="4"/>
      <c r="E166" s="4">
        <f t="shared" si="4"/>
        <v>0</v>
      </c>
    </row>
    <row r="167" spans="1:5" x14ac:dyDescent="0.3">
      <c r="A167" s="3"/>
      <c r="B167" s="4"/>
      <c r="C167" s="4"/>
      <c r="D167" s="4"/>
      <c r="E167" s="4">
        <f t="shared" si="4"/>
        <v>0</v>
      </c>
    </row>
    <row r="168" spans="1:5" x14ac:dyDescent="0.3">
      <c r="A168" s="3"/>
      <c r="B168" s="4"/>
      <c r="C168" s="4"/>
      <c r="D168" s="4"/>
      <c r="E168" s="4">
        <f t="shared" si="4"/>
        <v>0</v>
      </c>
    </row>
    <row r="169" spans="1:5" x14ac:dyDescent="0.3">
      <c r="A169" s="3"/>
      <c r="B169" s="4"/>
      <c r="C169" s="4"/>
      <c r="D169" s="4"/>
      <c r="E169" s="4">
        <f t="shared" si="4"/>
        <v>0</v>
      </c>
    </row>
    <row r="170" spans="1:5" x14ac:dyDescent="0.3">
      <c r="A170" s="3"/>
      <c r="B170" s="4"/>
      <c r="C170" s="4"/>
      <c r="D170" s="4"/>
      <c r="E170" s="4">
        <f t="shared" si="4"/>
        <v>0</v>
      </c>
    </row>
    <row r="171" spans="1:5" x14ac:dyDescent="0.3">
      <c r="A171" s="3"/>
      <c r="B171" s="4"/>
      <c r="C171" s="4"/>
      <c r="D171" s="4"/>
      <c r="E171" s="4">
        <f t="shared" si="4"/>
        <v>0</v>
      </c>
    </row>
    <row r="172" spans="1:5" x14ac:dyDescent="0.3">
      <c r="A172" s="3"/>
      <c r="B172" s="4"/>
      <c r="C172" s="4"/>
      <c r="D172" s="4"/>
      <c r="E172" s="4">
        <f t="shared" si="4"/>
        <v>0</v>
      </c>
    </row>
    <row r="173" spans="1:5" x14ac:dyDescent="0.3">
      <c r="A173" s="3"/>
      <c r="B173" s="4"/>
      <c r="C173" s="4"/>
      <c r="D173" s="4"/>
      <c r="E173" s="4">
        <f t="shared" si="4"/>
        <v>0</v>
      </c>
    </row>
    <row r="174" spans="1:5" x14ac:dyDescent="0.3">
      <c r="A174" s="3"/>
      <c r="B174" s="4"/>
      <c r="C174" s="4"/>
      <c r="D174" s="4"/>
      <c r="E174" s="4">
        <f t="shared" si="4"/>
        <v>0</v>
      </c>
    </row>
    <row r="175" spans="1:5" x14ac:dyDescent="0.3">
      <c r="A175" s="3"/>
      <c r="B175" s="4"/>
      <c r="C175" s="4"/>
      <c r="D175" s="4"/>
      <c r="E175" s="4">
        <f t="shared" si="4"/>
        <v>0</v>
      </c>
    </row>
    <row r="176" spans="1:5" x14ac:dyDescent="0.3">
      <c r="A176" s="3"/>
      <c r="B176" s="4"/>
      <c r="C176" s="4"/>
      <c r="D176" s="4"/>
      <c r="E176" s="4">
        <f t="shared" si="4"/>
        <v>0</v>
      </c>
    </row>
    <row r="177" spans="1:5" x14ac:dyDescent="0.3">
      <c r="A177" s="3"/>
      <c r="B177" s="4"/>
      <c r="C177" s="4"/>
      <c r="D177" s="4"/>
      <c r="E177" s="4">
        <f t="shared" si="4"/>
        <v>0</v>
      </c>
    </row>
    <row r="178" spans="1:5" x14ac:dyDescent="0.3">
      <c r="A178" s="3"/>
      <c r="B178" s="4"/>
      <c r="C178" s="4"/>
      <c r="D178" s="4"/>
      <c r="E178" s="4">
        <f t="shared" si="4"/>
        <v>0</v>
      </c>
    </row>
    <row r="179" spans="1:5" x14ac:dyDescent="0.3">
      <c r="A179" s="3"/>
      <c r="B179" s="4"/>
      <c r="C179" s="4"/>
      <c r="D179" s="4"/>
      <c r="E179" s="4">
        <f t="shared" si="4"/>
        <v>0</v>
      </c>
    </row>
    <row r="180" spans="1:5" x14ac:dyDescent="0.3">
      <c r="A180" s="3"/>
      <c r="B180" s="4"/>
      <c r="C180" s="4"/>
      <c r="D180" s="4"/>
      <c r="E180" s="4">
        <f t="shared" si="4"/>
        <v>0</v>
      </c>
    </row>
    <row r="181" spans="1:5" x14ac:dyDescent="0.3">
      <c r="A181" s="3"/>
      <c r="B181" s="4"/>
      <c r="C181" s="4"/>
      <c r="D181" s="4"/>
      <c r="E181" s="4">
        <f t="shared" si="4"/>
        <v>0</v>
      </c>
    </row>
    <row r="182" spans="1:5" x14ac:dyDescent="0.3">
      <c r="A182" s="3"/>
      <c r="B182" s="4"/>
      <c r="C182" s="4"/>
      <c r="D182" s="4"/>
      <c r="E182" s="4">
        <f t="shared" si="4"/>
        <v>0</v>
      </c>
    </row>
    <row r="183" spans="1:5" x14ac:dyDescent="0.3">
      <c r="A183" s="3"/>
      <c r="B183" s="4"/>
      <c r="C183" s="4"/>
      <c r="D183" s="4"/>
      <c r="E183" s="4">
        <f t="shared" si="4"/>
        <v>0</v>
      </c>
    </row>
    <row r="184" spans="1:5" x14ac:dyDescent="0.3">
      <c r="A184" s="3"/>
      <c r="B184" s="4"/>
      <c r="C184" s="4"/>
      <c r="D184" s="4"/>
      <c r="E184" s="4">
        <f t="shared" si="4"/>
        <v>0</v>
      </c>
    </row>
    <row r="185" spans="1:5" x14ac:dyDescent="0.3">
      <c r="A185" s="3"/>
      <c r="B185" s="4"/>
      <c r="C185" s="4"/>
      <c r="D185" s="4"/>
      <c r="E185" s="4">
        <f t="shared" si="4"/>
        <v>0</v>
      </c>
    </row>
    <row r="186" spans="1:5" x14ac:dyDescent="0.3">
      <c r="A186" s="3"/>
      <c r="B186" s="4"/>
      <c r="C186" s="4"/>
      <c r="D186" s="4"/>
      <c r="E186" s="4">
        <f t="shared" si="4"/>
        <v>0</v>
      </c>
    </row>
  </sheetData>
  <mergeCells count="1">
    <mergeCell ref="A1:E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46678-F0E7-4A89-AD0C-E4287C38DDC2}">
  <dimension ref="A1:N72"/>
  <sheetViews>
    <sheetView zoomScale="122" zoomScaleNormal="85" workbookViewId="0">
      <selection activeCell="B10" sqref="B10"/>
    </sheetView>
  </sheetViews>
  <sheetFormatPr defaultColWidth="9.109375" defaultRowHeight="14.4" x14ac:dyDescent="0.3"/>
  <cols>
    <col min="1" max="1" width="42.33203125" style="5" bestFit="1" customWidth="1"/>
    <col min="2" max="2" width="24.109375" style="5" bestFit="1" customWidth="1"/>
    <col min="3" max="3" width="9" style="5" bestFit="1" customWidth="1"/>
    <col min="4" max="4" width="10.5546875" style="5" bestFit="1" customWidth="1"/>
    <col min="5" max="5" width="7.88671875" style="5" bestFit="1" customWidth="1"/>
    <col min="6" max="6" width="8.6640625" style="5" bestFit="1" customWidth="1"/>
    <col min="7" max="8" width="9.109375" style="5"/>
    <col min="9" max="9" width="11.33203125" style="5" bestFit="1" customWidth="1"/>
    <col min="10" max="10" width="11" style="5" bestFit="1" customWidth="1"/>
    <col min="11" max="11" width="8.109375" style="5" bestFit="1" customWidth="1"/>
    <col min="12" max="12" width="7.109375" style="5" customWidth="1"/>
    <col min="13" max="13" width="8.6640625" style="5" bestFit="1" customWidth="1"/>
    <col min="14" max="14" width="11" style="5" customWidth="1"/>
    <col min="15" max="16384" width="9.109375" style="5"/>
  </cols>
  <sheetData>
    <row r="1" spans="1:14" ht="15" thickBot="1" x14ac:dyDescent="0.35">
      <c r="A1" s="1" t="s">
        <v>2</v>
      </c>
      <c r="B1" s="1" t="s">
        <v>52</v>
      </c>
      <c r="C1" s="2" t="s">
        <v>3</v>
      </c>
      <c r="D1" s="2" t="s">
        <v>4</v>
      </c>
      <c r="E1" s="2" t="s">
        <v>5</v>
      </c>
      <c r="F1" s="2" t="s">
        <v>6</v>
      </c>
    </row>
    <row r="2" spans="1:14" ht="15" thickTop="1" x14ac:dyDescent="0.3">
      <c r="A2" s="3" t="s">
        <v>8</v>
      </c>
      <c r="B2" s="3">
        <v>112.5</v>
      </c>
      <c r="C2" s="4">
        <f>IFERROR((VLOOKUP(A2,'Food Database'!$A$2:$E$105,2,FALSE) * B2) / 100, "")</f>
        <v>61.875</v>
      </c>
      <c r="D2" s="4">
        <f>IFERROR((VLOOKUP(A2,'Food Database'!$A$2:$E$105,3,FALSE) * B2) / 100, "")</f>
        <v>10.125</v>
      </c>
      <c r="E2" s="4">
        <f>IFERROR((VLOOKUP(A2,'Food Database'!$A$2:$E$105,4,FALSE) * B2) / 100, "")</f>
        <v>2.25</v>
      </c>
      <c r="F2" s="4">
        <f>IFERROR((VLOOKUP(A2,'Food Database'!$A$2:$E$105,5,FALSE) * B2) / 100, "")</f>
        <v>308.25</v>
      </c>
    </row>
    <row r="3" spans="1:14" x14ac:dyDescent="0.3">
      <c r="A3" s="3" t="s">
        <v>12</v>
      </c>
      <c r="B3" s="5">
        <v>135</v>
      </c>
      <c r="C3" s="4">
        <f>IFERROR((VLOOKUP(A3,'Food Database'!$A$2:$E$105,2,FALSE) * B3) / 100, "")</f>
        <v>1.4850000000000001</v>
      </c>
      <c r="D3" s="4">
        <f>IFERROR((VLOOKUP(A3,'Food Database'!$A$2:$E$105,3,FALSE) * B3) / 100, "")</f>
        <v>17.55</v>
      </c>
      <c r="E3" s="4">
        <f>IFERROR((VLOOKUP(A3,'Food Database'!$A$2:$E$105,4,FALSE) * B3) / 100, "")</f>
        <v>14.85</v>
      </c>
      <c r="F3" s="4">
        <f>IFERROR((VLOOKUP(A3,'Food Database'!$A$2:$E$105,5,FALSE) * B3) / 100, "")</f>
        <v>209.79</v>
      </c>
    </row>
    <row r="4" spans="1:14" x14ac:dyDescent="0.3">
      <c r="A4" s="3" t="s">
        <v>27</v>
      </c>
      <c r="B4" s="5">
        <v>60</v>
      </c>
      <c r="C4" s="4">
        <f>IFERROR((VLOOKUP(A4,'Food Database'!$A$2:$E$105,2,FALSE) * B4) / 100, "")</f>
        <v>40.000000000000007</v>
      </c>
      <c r="D4" s="4">
        <f>IFERROR((VLOOKUP(A4,'Food Database'!$A$2:$E$105,3,FALSE) * B4) / 100, "")</f>
        <v>10.000000000000002</v>
      </c>
      <c r="E4" s="4">
        <f>IFERROR((VLOOKUP(A4,'Food Database'!$A$2:$E$105,4,FALSE) * B4) / 100, "")</f>
        <v>10.000000000000002</v>
      </c>
      <c r="F4" s="4">
        <f>IFERROR((VLOOKUP(A4,'Food Database'!$A$2:$E$105,5,FALSE) * B4) / 100, "")</f>
        <v>290.00000000000006</v>
      </c>
    </row>
    <row r="5" spans="1:14" ht="15" thickBot="1" x14ac:dyDescent="0.35">
      <c r="A5" s="3" t="s">
        <v>39</v>
      </c>
      <c r="B5" s="5">
        <v>250</v>
      </c>
      <c r="C5" s="4">
        <f>IFERROR((VLOOKUP(A5,'Food Database'!$A$2:$E$105,2,FALSE) * B5) / 100, "")</f>
        <v>101.5</v>
      </c>
      <c r="D5" s="4">
        <f>IFERROR((VLOOKUP(A5,'Food Database'!$A$2:$E$105,3,FALSE) * B5) / 100, "")</f>
        <v>8.5</v>
      </c>
      <c r="E5" s="4">
        <f>IFERROR((VLOOKUP(A5,'Food Database'!$A$2:$E$105,4,FALSE) * B5) / 100, "")</f>
        <v>1.125</v>
      </c>
      <c r="F5" s="4">
        <f>IFERROR((VLOOKUP(A5,'Food Database'!$A$2:$E$105,5,FALSE) * B5) / 100, "")</f>
        <v>450.125</v>
      </c>
    </row>
    <row r="6" spans="1:14" ht="15.6" thickTop="1" thickBot="1" x14ac:dyDescent="0.35">
      <c r="A6" s="3" t="s">
        <v>22</v>
      </c>
      <c r="B6" s="5">
        <v>200</v>
      </c>
      <c r="C6" s="4">
        <f>IFERROR((VLOOKUP(A6,'Food Database'!$A$2:$E$105,2,FALSE) * B6) / 100, "")</f>
        <v>0</v>
      </c>
      <c r="D6" s="4">
        <f>IFERROR((VLOOKUP(A6,'Food Database'!$A$2:$E$105,3,FALSE) * B6) / 100, "")</f>
        <v>62</v>
      </c>
      <c r="E6" s="4">
        <f>IFERROR((VLOOKUP(A6,'Food Database'!$A$2:$E$105,4,FALSE) * B6) / 100, "")</f>
        <v>7.2</v>
      </c>
      <c r="F6" s="4">
        <f>IFERROR((VLOOKUP(A6,'Food Database'!$A$2:$E$105,5,FALSE) * B6) / 100, "")</f>
        <v>312.8</v>
      </c>
      <c r="J6" s="14" t="s">
        <v>53</v>
      </c>
      <c r="K6" s="15"/>
      <c r="L6" s="15"/>
      <c r="M6" s="15"/>
      <c r="N6" s="16"/>
    </row>
    <row r="7" spans="1:14" ht="15.6" thickTop="1" thickBot="1" x14ac:dyDescent="0.35">
      <c r="A7" s="3" t="s">
        <v>23</v>
      </c>
      <c r="B7" s="5">
        <v>250</v>
      </c>
      <c r="C7" s="4">
        <f>IFERROR((VLOOKUP(A7,'Food Database'!$A$2:$E$105,2,FALSE) * B7) / 100, "")</f>
        <v>35</v>
      </c>
      <c r="D7" s="4">
        <f>IFERROR((VLOOKUP(A7,'Food Database'!$A$2:$E$105,3,FALSE) * B7) / 100, "")</f>
        <v>0</v>
      </c>
      <c r="E7" s="4">
        <f>IFERROR((VLOOKUP(A7,'Food Database'!$A$2:$E$105,4,FALSE) * B7) / 100, "")</f>
        <v>0</v>
      </c>
      <c r="F7" s="4">
        <f>IFERROR((VLOOKUP(A7,'Food Database'!$A$2:$E$105,5,FALSE) * B7) / 100, "")</f>
        <v>140</v>
      </c>
      <c r="J7" s="6" t="s">
        <v>54</v>
      </c>
      <c r="K7" s="4" t="s">
        <v>55</v>
      </c>
      <c r="L7" s="4" t="s">
        <v>56</v>
      </c>
      <c r="M7" s="4" t="s">
        <v>57</v>
      </c>
      <c r="N7" s="4" t="s">
        <v>6</v>
      </c>
    </row>
    <row r="8" spans="1:14" ht="15.6" thickTop="1" thickBot="1" x14ac:dyDescent="0.35">
      <c r="A8" s="3" t="s">
        <v>16</v>
      </c>
      <c r="B8" s="5">
        <v>100</v>
      </c>
      <c r="C8" s="4">
        <f>IFERROR((VLOOKUP(A8,'Food Database'!$A$2:$E$105,2,FALSE) * B8) / 100, "")</f>
        <v>60.4</v>
      </c>
      <c r="D8" s="4">
        <f>IFERROR((VLOOKUP(A8,'Food Database'!$A$2:$E$105,3,FALSE) * B8) / 100, "")</f>
        <v>30</v>
      </c>
      <c r="E8" s="4">
        <f>IFERROR((VLOOKUP(A8,'Food Database'!$A$2:$E$105,4,FALSE) * B8) / 100, "")</f>
        <v>2</v>
      </c>
      <c r="F8" s="4">
        <f>IFERROR((VLOOKUP(A8,'Food Database'!$A$2:$E$105,5,FALSE) * B8) / 100, "")</f>
        <v>379.6</v>
      </c>
      <c r="J8" s="7" t="s">
        <v>58</v>
      </c>
      <c r="K8" s="7">
        <f>SUM(C2:C71)</f>
        <v>423.68799999999993</v>
      </c>
      <c r="L8" s="7">
        <f>SUM(D2:D71)</f>
        <v>177.72600000000003</v>
      </c>
      <c r="M8" s="7">
        <f>SUM(E2:E71)</f>
        <v>67.445000000000007</v>
      </c>
      <c r="N8" s="7">
        <f>SUM(F2:F71)</f>
        <v>3012.6610000000001</v>
      </c>
    </row>
    <row r="9" spans="1:14" ht="15.6" thickTop="1" thickBot="1" x14ac:dyDescent="0.35">
      <c r="A9" s="3" t="s">
        <v>20</v>
      </c>
      <c r="B9" s="5">
        <v>21</v>
      </c>
      <c r="C9" s="4">
        <f>IFERROR((VLOOKUP(A9,'Food Database'!$A$2:$E$105,2,FALSE) * B9) / 100, "")</f>
        <v>17.304000000000002</v>
      </c>
      <c r="D9" s="4">
        <f>IFERROR((VLOOKUP(A9,'Food Database'!$A$2:$E$105,3,FALSE) * B9) / 100, "")</f>
        <v>6.3E-2</v>
      </c>
      <c r="E9" s="4">
        <f>IFERROR((VLOOKUP(A9,'Food Database'!$A$2:$E$105,4,FALSE) * B9) / 100, "")</f>
        <v>0</v>
      </c>
      <c r="F9" s="4">
        <f>IFERROR((VLOOKUP(A9,'Food Database'!$A$2:$E$105,5,FALSE) * B9) / 100, "")</f>
        <v>69.468000000000004</v>
      </c>
      <c r="J9" s="7" t="s">
        <v>59</v>
      </c>
      <c r="K9" s="8">
        <f>(K8*4)/N8</f>
        <v>0.5625432134581354</v>
      </c>
      <c r="L9" s="8">
        <f>(L8*4)/N8</f>
        <v>0.23597211900044515</v>
      </c>
      <c r="M9" s="8">
        <f>(M8*9)/N8</f>
        <v>0.20148466754141939</v>
      </c>
      <c r="N9" s="8" t="s">
        <v>54</v>
      </c>
    </row>
    <row r="10" spans="1:14" ht="15" thickTop="1" x14ac:dyDescent="0.3">
      <c r="A10" s="3" t="s">
        <v>24</v>
      </c>
      <c r="B10" s="5">
        <v>80</v>
      </c>
      <c r="C10" s="4">
        <f>IFERROR((VLOOKUP(A10,'Food Database'!$A$2:$E$105,2,FALSE) * B10) / 100, "")</f>
        <v>42.4</v>
      </c>
      <c r="D10" s="4">
        <f>IFERROR((VLOOKUP(A10,'Food Database'!$A$2:$E$105,3,FALSE) * B10) / 100, "")</f>
        <v>8.8000000000000007</v>
      </c>
      <c r="E10" s="4">
        <f>IFERROR((VLOOKUP(A10,'Food Database'!$A$2:$E$105,4,FALSE) * B10) / 100, "")</f>
        <v>3.2</v>
      </c>
      <c r="F10" s="4">
        <f>IFERROR((VLOOKUP(A10,'Food Database'!$A$2:$E$105,5,FALSE) * B10) / 100, "")</f>
        <v>233.6</v>
      </c>
    </row>
    <row r="11" spans="1:14" x14ac:dyDescent="0.3">
      <c r="A11" s="3" t="s">
        <v>25</v>
      </c>
      <c r="B11" s="5">
        <v>100</v>
      </c>
      <c r="C11" s="4">
        <f>IFERROR((VLOOKUP(A11,'Food Database'!$A$2:$E$105,2,FALSE) * B11) / 100, "")</f>
        <v>2.7</v>
      </c>
      <c r="D11" s="4">
        <f>IFERROR((VLOOKUP(A11,'Food Database'!$A$2:$E$105,3,FALSE) * B11) / 100, "")</f>
        <v>12.5</v>
      </c>
      <c r="E11" s="4">
        <f>IFERROR((VLOOKUP(A11,'Food Database'!$A$2:$E$105,4,FALSE) * B11) / 100, "")</f>
        <v>4.5</v>
      </c>
      <c r="F11" s="4">
        <f>IFERROR((VLOOKUP(A11,'Food Database'!$A$2:$E$105,5,FALSE) * B11) / 100, "")</f>
        <v>101.3</v>
      </c>
    </row>
    <row r="12" spans="1:14" x14ac:dyDescent="0.3">
      <c r="A12" s="3" t="s">
        <v>10</v>
      </c>
      <c r="B12" s="5">
        <v>38</v>
      </c>
      <c r="C12" s="4">
        <f>IFERROR((VLOOKUP(A12,'Food Database'!$A$2:$E$105,2,FALSE) * B12) / 100, "")</f>
        <v>0.38</v>
      </c>
      <c r="D12" s="4">
        <f>IFERROR((VLOOKUP(A12,'Food Database'!$A$2:$E$105,3,FALSE) * B12) / 100, "")</f>
        <v>9.5</v>
      </c>
      <c r="E12" s="4">
        <f>IFERROR((VLOOKUP(A12,'Food Database'!$A$2:$E$105,4,FALSE) * B12) / 100, "")</f>
        <v>11.4</v>
      </c>
      <c r="F12" s="4">
        <f>IFERROR((VLOOKUP(A12,'Food Database'!$A$2:$E$105,5,FALSE) * B12) / 100, "")</f>
        <v>142.12</v>
      </c>
    </row>
    <row r="13" spans="1:14" x14ac:dyDescent="0.3">
      <c r="A13" s="3" t="s">
        <v>14</v>
      </c>
      <c r="B13" s="5">
        <v>200</v>
      </c>
      <c r="C13" s="4">
        <f>IFERROR((VLOOKUP(A13,'Food Database'!$A$2:$E$105,2,FALSE) * B13) / 100, "")</f>
        <v>23</v>
      </c>
      <c r="D13" s="4">
        <f>IFERROR((VLOOKUP(A13,'Food Database'!$A$2:$E$105,3,FALSE) * B13) / 100, "")</f>
        <v>6</v>
      </c>
      <c r="E13" s="4">
        <f>IFERROR((VLOOKUP(A13,'Food Database'!$A$2:$E$105,4,FALSE) * B13) / 100, "")</f>
        <v>3</v>
      </c>
      <c r="F13" s="4">
        <f>IFERROR((VLOOKUP(A13,'Food Database'!$A$2:$E$105,5,FALSE) * B13) / 100, "")</f>
        <v>143</v>
      </c>
    </row>
    <row r="14" spans="1:14" x14ac:dyDescent="0.3">
      <c r="A14" s="3" t="s">
        <v>29</v>
      </c>
      <c r="B14" s="5">
        <v>48</v>
      </c>
      <c r="C14" s="4">
        <f>IFERROR((VLOOKUP(A14,'Food Database'!$A$2:$E$105,2,FALSE) * B14) / 100, "")</f>
        <v>36</v>
      </c>
      <c r="D14" s="4">
        <f>IFERROR((VLOOKUP(A14,'Food Database'!$A$2:$E$105,3,FALSE) * B14) / 100, "")</f>
        <v>0.8640000000000001</v>
      </c>
      <c r="E14" s="4">
        <f>IFERROR((VLOOKUP(A14,'Food Database'!$A$2:$E$105,4,FALSE) * B14) / 100, "")</f>
        <v>9.6000000000000016E-2</v>
      </c>
      <c r="F14" s="4">
        <f>IFERROR((VLOOKUP(A14,'Food Database'!$A$2:$E$105,5,FALSE) * B14) / 100, "")</f>
        <v>148.32</v>
      </c>
    </row>
    <row r="15" spans="1:14" x14ac:dyDescent="0.3">
      <c r="A15" s="3" t="s">
        <v>30</v>
      </c>
      <c r="B15" s="5">
        <v>12</v>
      </c>
      <c r="C15" s="4">
        <f>IFERROR((VLOOKUP(A15,'Food Database'!$A$2:$E$105,2,FALSE) * B15) / 100, "")</f>
        <v>1.6439999999999997</v>
      </c>
      <c r="D15" s="4">
        <f>IFERROR((VLOOKUP(A15,'Food Database'!$A$2:$E$105,3,FALSE) * B15) / 100, "")</f>
        <v>1.8239999999999998</v>
      </c>
      <c r="E15" s="4">
        <f>IFERROR((VLOOKUP(A15,'Food Database'!$A$2:$E$105,4,FALSE) * B15) / 100, "")</f>
        <v>7.8240000000000007</v>
      </c>
      <c r="F15" s="4">
        <f>IFERROR((VLOOKUP(A15,'Food Database'!$A$2:$E$105,5,FALSE) * B15) / 100, "")</f>
        <v>84.288000000000011</v>
      </c>
    </row>
    <row r="16" spans="1:14" x14ac:dyDescent="0.3">
      <c r="A16" s="3"/>
      <c r="C16" s="4" t="str">
        <f>IFERROR((VLOOKUP(A16,'Food Database'!$A$2:$E$105,2,FALSE) * B16) / 100, "")</f>
        <v/>
      </c>
      <c r="D16" s="4" t="str">
        <f>IFERROR((VLOOKUP(A16,'Food Database'!$A$2:$E$105,3,FALSE) * B16) / 100, "")</f>
        <v/>
      </c>
      <c r="E16" s="4" t="str">
        <f>IFERROR((VLOOKUP(A16,'Food Database'!$A$2:$E$105,4,FALSE) * B16) / 100, "")</f>
        <v/>
      </c>
      <c r="F16" s="4" t="str">
        <f>IFERROR((VLOOKUP(A16,'Food Database'!$A$2:$E$105,5,FALSE) * B16) / 100, "")</f>
        <v/>
      </c>
    </row>
    <row r="17" spans="1:6" x14ac:dyDescent="0.3">
      <c r="A17" s="3"/>
      <c r="C17" s="4" t="str">
        <f>IFERROR((VLOOKUP(A17,'Food Database'!$A$2:$E$105,2,FALSE) * B17) / 100, "")</f>
        <v/>
      </c>
      <c r="D17" s="4" t="str">
        <f>IFERROR((VLOOKUP(A17,'Food Database'!$A$2:$E$105,3,FALSE) * B17) / 100, "")</f>
        <v/>
      </c>
      <c r="E17" s="4" t="str">
        <f>IFERROR((VLOOKUP(A17,'Food Database'!$A$2:$E$105,4,FALSE) * B17) / 100, "")</f>
        <v/>
      </c>
      <c r="F17" s="4" t="str">
        <f>IFERROR((VLOOKUP(A17,'Food Database'!$A$2:$E$105,5,FALSE) * B17) / 100, "")</f>
        <v/>
      </c>
    </row>
    <row r="18" spans="1:6" x14ac:dyDescent="0.3">
      <c r="A18" s="3"/>
      <c r="C18" s="4" t="str">
        <f>IFERROR((VLOOKUP(A18,'Food Database'!$A$2:$E$105,2,FALSE) * B18) / 100, "")</f>
        <v/>
      </c>
      <c r="D18" s="4" t="str">
        <f>IFERROR((VLOOKUP(A18,'Food Database'!$A$2:$E$105,3,FALSE) * B18) / 100, "")</f>
        <v/>
      </c>
      <c r="E18" s="4" t="str">
        <f>IFERROR((VLOOKUP(A18,'Food Database'!$A$2:$E$105,4,FALSE) * B18) / 100, "")</f>
        <v/>
      </c>
      <c r="F18" s="4" t="str">
        <f>IFERROR((VLOOKUP(A18,'Food Database'!$A$2:$E$105,5,FALSE) * B18) / 100, "")</f>
        <v/>
      </c>
    </row>
    <row r="19" spans="1:6" x14ac:dyDescent="0.3">
      <c r="A19" s="3"/>
      <c r="C19" s="4" t="str">
        <f>IFERROR((VLOOKUP(A19,'Food Database'!$A$2:$E$105,2,FALSE) * B19) / 100, "")</f>
        <v/>
      </c>
      <c r="D19" s="4" t="str">
        <f>IFERROR((VLOOKUP(A19,'Food Database'!$A$2:$E$105,3,FALSE) * B19) / 100, "")</f>
        <v/>
      </c>
      <c r="E19" s="4" t="str">
        <f>IFERROR((VLOOKUP(A19,'Food Database'!$A$2:$E$105,4,FALSE) * B19) / 100, "")</f>
        <v/>
      </c>
      <c r="F19" s="4" t="str">
        <f>IFERROR((VLOOKUP(A19,'Food Database'!$A$2:$E$105,5,FALSE) * B19) / 100, "")</f>
        <v/>
      </c>
    </row>
    <row r="20" spans="1:6" x14ac:dyDescent="0.3">
      <c r="A20" s="3"/>
      <c r="C20" s="4" t="str">
        <f>IFERROR((VLOOKUP(A20,'Food Database'!$A$2:$E$105,2,FALSE) * B20) / 100, "")</f>
        <v/>
      </c>
      <c r="D20" s="4" t="str">
        <f>IFERROR((VLOOKUP(A20,'Food Database'!$A$2:$E$105,3,FALSE) * B20) / 100, "")</f>
        <v/>
      </c>
      <c r="E20" s="4" t="str">
        <f>IFERROR((VLOOKUP(A20,'Food Database'!$A$2:$E$105,4,FALSE) * B20) / 100, "")</f>
        <v/>
      </c>
      <c r="F20" s="4" t="str">
        <f>IFERROR((VLOOKUP(A20,'Food Database'!$A$2:$E$105,5,FALSE) * B20) / 100, "")</f>
        <v/>
      </c>
    </row>
    <row r="21" spans="1:6" x14ac:dyDescent="0.3">
      <c r="A21" s="3"/>
      <c r="C21" s="4" t="str">
        <f>IFERROR((VLOOKUP(A21,'Food Database'!$A$2:$E$105,2,FALSE) * B21) / 100, "")</f>
        <v/>
      </c>
      <c r="D21" s="4" t="str">
        <f>IFERROR((VLOOKUP(A21,'Food Database'!$A$2:$E$105,3,FALSE) * B21) / 100, "")</f>
        <v/>
      </c>
      <c r="E21" s="4" t="str">
        <f>IFERROR((VLOOKUP(A21,'Food Database'!$A$2:$E$105,4,FALSE) * B21) / 100, "")</f>
        <v/>
      </c>
      <c r="F21" s="4" t="str">
        <f>IFERROR((VLOOKUP(A21,'Food Database'!$A$2:$E$105,5,FALSE) * B21) / 100, "")</f>
        <v/>
      </c>
    </row>
    <row r="22" spans="1:6" x14ac:dyDescent="0.3">
      <c r="A22" s="3"/>
      <c r="C22" s="4" t="str">
        <f>IFERROR((VLOOKUP(A22,'Food Database'!$A$2:$E$105,2,FALSE) * B22) / 100, "")</f>
        <v/>
      </c>
      <c r="D22" s="4" t="str">
        <f>IFERROR((VLOOKUP(A22,'Food Database'!$A$2:$E$105,3,FALSE) * B22) / 100, "")</f>
        <v/>
      </c>
      <c r="E22" s="4" t="str">
        <f>IFERROR((VLOOKUP(A22,'Food Database'!$A$2:$E$105,4,FALSE) * B22) / 100, "")</f>
        <v/>
      </c>
      <c r="F22" s="4" t="str">
        <f>IFERROR((VLOOKUP(A22,'Food Database'!$A$2:$E$105,5,FALSE) * B22) / 100, "")</f>
        <v/>
      </c>
    </row>
    <row r="23" spans="1:6" x14ac:dyDescent="0.3">
      <c r="A23" s="3"/>
      <c r="C23" s="4" t="str">
        <f>IFERROR((VLOOKUP(A23,'Food Database'!$A$2:$E$105,2,FALSE) * B23) / 100, "")</f>
        <v/>
      </c>
      <c r="D23" s="4" t="str">
        <f>IFERROR((VLOOKUP(A23,'Food Database'!$A$2:$E$105,3,FALSE) * B23) / 100, "")</f>
        <v/>
      </c>
      <c r="E23" s="4" t="str">
        <f>IFERROR((VLOOKUP(A23,'Food Database'!$A$2:$E$105,4,FALSE) * B23) / 100, "")</f>
        <v/>
      </c>
      <c r="F23" s="4" t="str">
        <f>IFERROR((VLOOKUP(A23,'Food Database'!$A$2:$E$105,5,FALSE) * B23) / 100, "")</f>
        <v/>
      </c>
    </row>
    <row r="24" spans="1:6" x14ac:dyDescent="0.3">
      <c r="A24" s="3"/>
      <c r="C24" s="4" t="str">
        <f>IFERROR((VLOOKUP(A24,'Food Database'!$A$2:$E$105,2,FALSE) * B24) / 100, "")</f>
        <v/>
      </c>
      <c r="D24" s="4" t="str">
        <f>IFERROR((VLOOKUP(A24,'Food Database'!$A$2:$E$105,3,FALSE) * B24) / 100, "")</f>
        <v/>
      </c>
      <c r="E24" s="4" t="str">
        <f>IFERROR((VLOOKUP(A24,'Food Database'!$A$2:$E$105,4,FALSE) * B24) / 100, "")</f>
        <v/>
      </c>
      <c r="F24" s="4" t="str">
        <f>IFERROR((VLOOKUP(A24,'Food Database'!$A$2:$E$105,5,FALSE) * B24) / 100, "")</f>
        <v/>
      </c>
    </row>
    <row r="25" spans="1:6" x14ac:dyDescent="0.3">
      <c r="A25" s="3"/>
      <c r="C25" s="4" t="str">
        <f>IFERROR((VLOOKUP(A25,'Food Database'!$A$2:$E$105,2,FALSE) * B25) / 100, "")</f>
        <v/>
      </c>
      <c r="D25" s="4" t="str">
        <f>IFERROR((VLOOKUP(A25,'Food Database'!$A$2:$E$105,3,FALSE) * B25) / 100, "")</f>
        <v/>
      </c>
      <c r="E25" s="4" t="str">
        <f>IFERROR((VLOOKUP(A25,'Food Database'!$A$2:$E$105,4,FALSE) * B25) / 100, "")</f>
        <v/>
      </c>
      <c r="F25" s="4" t="str">
        <f>IFERROR((VLOOKUP(A25,'Food Database'!$A$2:$E$105,5,FALSE) * B25) / 100, "")</f>
        <v/>
      </c>
    </row>
    <row r="26" spans="1:6" x14ac:dyDescent="0.3">
      <c r="A26" s="3"/>
      <c r="C26" s="4" t="str">
        <f>IFERROR((VLOOKUP(A26,'Food Database'!$A$2:$E$105,2,FALSE) * B26) / 100, "")</f>
        <v/>
      </c>
      <c r="D26" s="4" t="str">
        <f>IFERROR((VLOOKUP(A26,'Food Database'!$A$2:$E$105,3,FALSE) * B26) / 100, "")</f>
        <v/>
      </c>
      <c r="E26" s="4" t="str">
        <f>IFERROR((VLOOKUP(A26,'Food Database'!$A$2:$E$105,4,FALSE) * B26) / 100, "")</f>
        <v/>
      </c>
      <c r="F26" s="4" t="str">
        <f>IFERROR((VLOOKUP(A26,'Food Database'!$A$2:$E$105,5,FALSE) * B26) / 100, "")</f>
        <v/>
      </c>
    </row>
    <row r="27" spans="1:6" x14ac:dyDescent="0.3">
      <c r="A27" s="3"/>
      <c r="C27" s="4" t="str">
        <f>IFERROR((VLOOKUP(A27,'Food Database'!$A$2:$E$105,2,FALSE) * B27) / 100, "")</f>
        <v/>
      </c>
      <c r="D27" s="4" t="str">
        <f>IFERROR((VLOOKUP(A27,'Food Database'!$A$2:$E$105,3,FALSE) * B27) / 100, "")</f>
        <v/>
      </c>
      <c r="E27" s="4" t="str">
        <f>IFERROR((VLOOKUP(A27,'Food Database'!$A$2:$E$105,4,FALSE) * B27) / 100, "")</f>
        <v/>
      </c>
      <c r="F27" s="4" t="str">
        <f>IFERROR((VLOOKUP(A27,'Food Database'!$A$2:$E$105,5,FALSE) * B27) / 100, "")</f>
        <v/>
      </c>
    </row>
    <row r="28" spans="1:6" x14ac:dyDescent="0.3">
      <c r="A28" s="3"/>
      <c r="C28" s="4" t="str">
        <f>IFERROR((VLOOKUP(A28,'Food Database'!$A$2:$E$105,2,FALSE) * B28) / 100, "")</f>
        <v/>
      </c>
      <c r="D28" s="4" t="str">
        <f>IFERROR((VLOOKUP(A28,'Food Database'!$A$2:$E$105,3,FALSE) * B28) / 100, "")</f>
        <v/>
      </c>
      <c r="E28" s="4" t="str">
        <f>IFERROR((VLOOKUP(A28,'Food Database'!$A$2:$E$105,4,FALSE) * B28) / 100, "")</f>
        <v/>
      </c>
      <c r="F28" s="4" t="str">
        <f>IFERROR((VLOOKUP(A28,'Food Database'!$A$2:$E$105,5,FALSE) * B28) / 100, "")</f>
        <v/>
      </c>
    </row>
    <row r="29" spans="1:6" x14ac:dyDescent="0.3">
      <c r="A29" s="3"/>
      <c r="C29" s="4" t="str">
        <f>IFERROR((VLOOKUP(A29,'Food Database'!$A$2:$E$105,2,FALSE) * B29) / 100, "")</f>
        <v/>
      </c>
      <c r="D29" s="4" t="str">
        <f>IFERROR((VLOOKUP(A29,'Food Database'!$A$2:$E$105,3,FALSE) * B29) / 100, "")</f>
        <v/>
      </c>
      <c r="E29" s="4" t="str">
        <f>IFERROR((VLOOKUP(A29,'Food Database'!$A$2:$E$105,4,FALSE) * B29) / 100, "")</f>
        <v/>
      </c>
      <c r="F29" s="4" t="str">
        <f>IFERROR((VLOOKUP(A29,'Food Database'!$A$2:$E$105,5,FALSE) * B29) / 100, "")</f>
        <v/>
      </c>
    </row>
    <row r="30" spans="1:6" x14ac:dyDescent="0.3">
      <c r="A30" s="3"/>
      <c r="C30" s="4" t="str">
        <f>IFERROR((VLOOKUP(A30,'Food Database'!$A$2:$E$105,2,FALSE) * B30) / 100, "")</f>
        <v/>
      </c>
      <c r="D30" s="4" t="str">
        <f>IFERROR((VLOOKUP(A30,'Food Database'!$A$2:$E$105,3,FALSE) * B30) / 100, "")</f>
        <v/>
      </c>
      <c r="E30" s="4" t="str">
        <f>IFERROR((VLOOKUP(A30,'Food Database'!$A$2:$E$105,4,FALSE) * B30) / 100, "")</f>
        <v/>
      </c>
      <c r="F30" s="4" t="str">
        <f>IFERROR((VLOOKUP(A30,'Food Database'!$A$2:$E$105,5,FALSE) * B30) / 100, "")</f>
        <v/>
      </c>
    </row>
    <row r="31" spans="1:6" x14ac:dyDescent="0.3">
      <c r="A31" s="3"/>
      <c r="C31" s="4" t="str">
        <f>IFERROR((VLOOKUP(A31,'Food Database'!$A$2:$E$105,2,FALSE) * B31) / 100, "")</f>
        <v/>
      </c>
      <c r="D31" s="4" t="str">
        <f>IFERROR((VLOOKUP(A31,'Food Database'!$A$2:$E$105,3,FALSE) * B31) / 100, "")</f>
        <v/>
      </c>
      <c r="E31" s="4" t="str">
        <f>IFERROR((VLOOKUP(A31,'Food Database'!$A$2:$E$105,4,FALSE) * B31) / 100, "")</f>
        <v/>
      </c>
      <c r="F31" s="4" t="str">
        <f>IFERROR((VLOOKUP(A31,'Food Database'!$A$2:$E$105,5,FALSE) * B31) / 100, "")</f>
        <v/>
      </c>
    </row>
    <row r="32" spans="1:6" x14ac:dyDescent="0.3">
      <c r="A32" s="3"/>
      <c r="C32" s="4" t="str">
        <f>IFERROR((VLOOKUP(A32,'Food Database'!$A$2:$E$105,2,FALSE) * B32) / 100, "")</f>
        <v/>
      </c>
      <c r="D32" s="4" t="str">
        <f>IFERROR((VLOOKUP(A32,'Food Database'!$A$2:$E$105,3,FALSE) * B32) / 100, "")</f>
        <v/>
      </c>
      <c r="E32" s="4" t="str">
        <f>IFERROR((VLOOKUP(A32,'Food Database'!$A$2:$E$105,4,FALSE) * B32) / 100, "")</f>
        <v/>
      </c>
      <c r="F32" s="4" t="str">
        <f>IFERROR((VLOOKUP(A32,'Food Database'!$A$2:$E$105,5,FALSE) * B32) / 100, "")</f>
        <v/>
      </c>
    </row>
    <row r="33" spans="1:6" x14ac:dyDescent="0.3">
      <c r="A33" s="3"/>
      <c r="C33" s="4" t="str">
        <f>IFERROR((VLOOKUP(A33,'Food Database'!$A$2:$E$105,2,FALSE) * B33) / 100, "")</f>
        <v/>
      </c>
      <c r="D33" s="4" t="str">
        <f>IFERROR((VLOOKUP(A33,'Food Database'!$A$2:$E$105,3,FALSE) * B33) / 100, "")</f>
        <v/>
      </c>
      <c r="E33" s="4" t="str">
        <f>IFERROR((VLOOKUP(A33,'Food Database'!$A$2:$E$105,4,FALSE) * B33) / 100, "")</f>
        <v/>
      </c>
      <c r="F33" s="4" t="str">
        <f>IFERROR((VLOOKUP(A33,'Food Database'!$A$2:$E$105,5,FALSE) * B33) / 100, "")</f>
        <v/>
      </c>
    </row>
    <row r="34" spans="1:6" x14ac:dyDescent="0.3">
      <c r="A34" s="3"/>
      <c r="C34" s="4" t="str">
        <f>IFERROR((VLOOKUP(A34,'Food Database'!$A$2:$E$105,2,FALSE) * B34) / 100, "")</f>
        <v/>
      </c>
      <c r="D34" s="4" t="str">
        <f>IFERROR((VLOOKUP(A34,'Food Database'!$A$2:$E$105,3,FALSE) * B34) / 100, "")</f>
        <v/>
      </c>
      <c r="E34" s="4" t="str">
        <f>IFERROR((VLOOKUP(A34,'Food Database'!$A$2:$E$105,4,FALSE) * B34) / 100, "")</f>
        <v/>
      </c>
      <c r="F34" s="4" t="str">
        <f>IFERROR((VLOOKUP(A34,'Food Database'!$A$2:$E$105,5,FALSE) * B34) / 100, "")</f>
        <v/>
      </c>
    </row>
    <row r="35" spans="1:6" x14ac:dyDescent="0.3">
      <c r="A35" s="3"/>
      <c r="C35" s="4" t="str">
        <f>IFERROR((VLOOKUP(A35,'Food Database'!$A$2:$E$105,2,FALSE) * B35) / 100, "")</f>
        <v/>
      </c>
      <c r="D35" s="4" t="str">
        <f>IFERROR((VLOOKUP(A35,'Food Database'!$A$2:$E$105,3,FALSE) * B35) / 100, "")</f>
        <v/>
      </c>
      <c r="E35" s="4" t="str">
        <f>IFERROR((VLOOKUP(A35,'Food Database'!$A$2:$E$105,4,FALSE) * B35) / 100, "")</f>
        <v/>
      </c>
      <c r="F35" s="4" t="str">
        <f>IFERROR((VLOOKUP(A35,'Food Database'!$A$2:$E$105,5,FALSE) * B35) / 100, "")</f>
        <v/>
      </c>
    </row>
    <row r="36" spans="1:6" x14ac:dyDescent="0.3">
      <c r="A36" s="3"/>
      <c r="C36" s="4" t="str">
        <f>IFERROR((VLOOKUP(A36,'Food Database'!$A$2:$E$105,2,FALSE) * B36) / 100, "")</f>
        <v/>
      </c>
      <c r="D36" s="4" t="str">
        <f>IFERROR((VLOOKUP(A36,'Food Database'!$A$2:$E$105,3,FALSE) * B36) / 100, "")</f>
        <v/>
      </c>
      <c r="E36" s="4" t="str">
        <f>IFERROR((VLOOKUP(A36,'Food Database'!$A$2:$E$105,4,FALSE) * B36) / 100, "")</f>
        <v/>
      </c>
      <c r="F36" s="4" t="str">
        <f>IFERROR((VLOOKUP(A36,'Food Database'!$A$2:$E$105,5,FALSE) * B36) / 100, "")</f>
        <v/>
      </c>
    </row>
    <row r="37" spans="1:6" x14ac:dyDescent="0.3">
      <c r="A37" s="3"/>
      <c r="C37" s="4" t="str">
        <f>IFERROR((VLOOKUP(A37,'Food Database'!$A$2:$E$105,2,FALSE) * B37) / 100, "")</f>
        <v/>
      </c>
      <c r="D37" s="4" t="str">
        <f>IFERROR((VLOOKUP(A37,'Food Database'!$A$2:$E$105,3,FALSE) * B37) / 100, "")</f>
        <v/>
      </c>
      <c r="E37" s="4" t="str">
        <f>IFERROR((VLOOKUP(A37,'Food Database'!$A$2:$E$105,4,FALSE) * B37) / 100, "")</f>
        <v/>
      </c>
      <c r="F37" s="4" t="str">
        <f>IFERROR((VLOOKUP(A37,'Food Database'!$A$2:$E$105,5,FALSE) * B37) / 100, "")</f>
        <v/>
      </c>
    </row>
    <row r="38" spans="1:6" x14ac:dyDescent="0.3">
      <c r="A38" s="3"/>
      <c r="C38" s="4" t="str">
        <f>IFERROR((VLOOKUP(A38,'Food Database'!$A$2:$E$105,2,FALSE) * B38) / 100, "")</f>
        <v/>
      </c>
      <c r="D38" s="4" t="str">
        <f>IFERROR((VLOOKUP(A38,'Food Database'!$A$2:$E$105,3,FALSE) * B38) / 100, "")</f>
        <v/>
      </c>
      <c r="E38" s="4" t="str">
        <f>IFERROR((VLOOKUP(A38,'Food Database'!$A$2:$E$105,4,FALSE) * B38) / 100, "")</f>
        <v/>
      </c>
      <c r="F38" s="4" t="str">
        <f>IFERROR((VLOOKUP(A38,'Food Database'!$A$2:$E$105,5,FALSE) * B38) / 100, "")</f>
        <v/>
      </c>
    </row>
    <row r="39" spans="1:6" x14ac:dyDescent="0.3">
      <c r="A39" s="3"/>
      <c r="C39" s="4" t="str">
        <f>IFERROR((VLOOKUP(A39,'Food Database'!$A$2:$E$105,2,FALSE) * B39) / 100, "")</f>
        <v/>
      </c>
      <c r="D39" s="4" t="str">
        <f>IFERROR((VLOOKUP(A39,'Food Database'!$A$2:$E$105,3,FALSE) * B39) / 100, "")</f>
        <v/>
      </c>
      <c r="E39" s="4" t="str">
        <f>IFERROR((VLOOKUP(A39,'Food Database'!$A$2:$E$105,4,FALSE) * B39) / 100, "")</f>
        <v/>
      </c>
      <c r="F39" s="4" t="str">
        <f>IFERROR((VLOOKUP(A39,'Food Database'!$A$2:$E$105,5,FALSE) * B39) / 100, "")</f>
        <v/>
      </c>
    </row>
    <row r="40" spans="1:6" x14ac:dyDescent="0.3">
      <c r="A40" s="3"/>
      <c r="C40" s="4" t="str">
        <f>IFERROR((VLOOKUP(A40,'Food Database'!$A$2:$E$105,2,FALSE) * B40) / 100, "")</f>
        <v/>
      </c>
      <c r="D40" s="4" t="str">
        <f>IFERROR((VLOOKUP(A40,'Food Database'!$A$2:$E$105,3,FALSE) * B40) / 100, "")</f>
        <v/>
      </c>
      <c r="E40" s="4" t="str">
        <f>IFERROR((VLOOKUP(A40,'Food Database'!$A$2:$E$105,4,FALSE) * B40) / 100, "")</f>
        <v/>
      </c>
      <c r="F40" s="4" t="str">
        <f>IFERROR((VLOOKUP(A40,'Food Database'!$A$2:$E$105,5,FALSE) * B40) / 100, "")</f>
        <v/>
      </c>
    </row>
    <row r="41" spans="1:6" x14ac:dyDescent="0.3">
      <c r="A41" s="3"/>
      <c r="C41" s="4" t="str">
        <f>IFERROR((VLOOKUP(A41,'Food Database'!$A$2:$E$105,2,FALSE) * B41) / 100, "")</f>
        <v/>
      </c>
      <c r="D41" s="4" t="str">
        <f>IFERROR((VLOOKUP(A41,'Food Database'!$A$2:$E$105,3,FALSE) * B41) / 100, "")</f>
        <v/>
      </c>
      <c r="E41" s="4" t="str">
        <f>IFERROR((VLOOKUP(A41,'Food Database'!$A$2:$E$105,4,FALSE) * B41) / 100, "")</f>
        <v/>
      </c>
      <c r="F41" s="4" t="str">
        <f>IFERROR((VLOOKUP(A41,'Food Database'!$A$2:$E$105,5,FALSE) * B41) / 100, "")</f>
        <v/>
      </c>
    </row>
    <row r="42" spans="1:6" x14ac:dyDescent="0.3">
      <c r="A42" s="3"/>
      <c r="C42" s="4" t="str">
        <f>IFERROR((VLOOKUP(A42,'Food Database'!$A$2:$E$105,2,FALSE) * B42) / 100, "")</f>
        <v/>
      </c>
      <c r="D42" s="4" t="str">
        <f>IFERROR((VLOOKUP(A42,'Food Database'!$A$2:$E$105,3,FALSE) * B42) / 100, "")</f>
        <v/>
      </c>
      <c r="E42" s="4" t="str">
        <f>IFERROR((VLOOKUP(A42,'Food Database'!$A$2:$E$105,4,FALSE) * B42) / 100, "")</f>
        <v/>
      </c>
      <c r="F42" s="4" t="str">
        <f>IFERROR((VLOOKUP(A42,'Food Database'!$A$2:$E$105,5,FALSE) * B42) / 100, "")</f>
        <v/>
      </c>
    </row>
    <row r="43" spans="1:6" x14ac:dyDescent="0.3">
      <c r="A43" s="3"/>
      <c r="C43" s="4" t="str">
        <f>IFERROR((VLOOKUP(A43,'Food Database'!$A$2:$E$105,2,FALSE) * B43) / 100, "")</f>
        <v/>
      </c>
      <c r="D43" s="4" t="str">
        <f>IFERROR((VLOOKUP(A43,'Food Database'!$A$2:$E$105,3,FALSE) * B43) / 100, "")</f>
        <v/>
      </c>
      <c r="E43" s="4" t="str">
        <f>IFERROR((VLOOKUP(A43,'Food Database'!$A$2:$E$105,4,FALSE) * B43) / 100, "")</f>
        <v/>
      </c>
      <c r="F43" s="4" t="str">
        <f>IFERROR((VLOOKUP(A43,'Food Database'!$A$2:$E$105,5,FALSE) * B43) / 100, "")</f>
        <v/>
      </c>
    </row>
    <row r="44" spans="1:6" x14ac:dyDescent="0.3">
      <c r="A44" s="3"/>
      <c r="C44" s="4" t="str">
        <f>IFERROR((VLOOKUP(A44,'Food Database'!$A$2:$E$105,2,FALSE) * B44) / 100, "")</f>
        <v/>
      </c>
      <c r="D44" s="4" t="str">
        <f>IFERROR((VLOOKUP(A44,'Food Database'!$A$2:$E$105,3,FALSE) * B44) / 100, "")</f>
        <v/>
      </c>
      <c r="E44" s="4" t="str">
        <f>IFERROR((VLOOKUP(A44,'Food Database'!$A$2:$E$105,4,FALSE) * B44) / 100, "")</f>
        <v/>
      </c>
      <c r="F44" s="4" t="str">
        <f>IFERROR((VLOOKUP(A44,'Food Database'!$A$2:$E$105,5,FALSE) * B44) / 100, "")</f>
        <v/>
      </c>
    </row>
    <row r="45" spans="1:6" x14ac:dyDescent="0.3">
      <c r="A45" s="3"/>
      <c r="C45" s="4" t="str">
        <f>IFERROR((VLOOKUP(A45,'Food Database'!$A$2:$E$105,2,FALSE) * B45) / 100, "")</f>
        <v/>
      </c>
      <c r="D45" s="4" t="str">
        <f>IFERROR((VLOOKUP(A45,'Food Database'!$A$2:$E$105,3,FALSE) * B45) / 100, "")</f>
        <v/>
      </c>
      <c r="E45" s="4" t="str">
        <f>IFERROR((VLOOKUP(A45,'Food Database'!$A$2:$E$105,4,FALSE) * B45) / 100, "")</f>
        <v/>
      </c>
      <c r="F45" s="4" t="str">
        <f>IFERROR((VLOOKUP(A45,'Food Database'!$A$2:$E$105,5,FALSE) * B45) / 100, "")</f>
        <v/>
      </c>
    </row>
    <row r="46" spans="1:6" x14ac:dyDescent="0.3">
      <c r="A46" s="3"/>
      <c r="C46" s="4" t="str">
        <f>IFERROR((VLOOKUP(A46,'Food Database'!$A$2:$E$105,2,FALSE) * B46) / 100, "")</f>
        <v/>
      </c>
      <c r="D46" s="4" t="str">
        <f>IFERROR((VLOOKUP(A46,'Food Database'!$A$2:$E$105,3,FALSE) * B46) / 100, "")</f>
        <v/>
      </c>
      <c r="E46" s="4" t="str">
        <f>IFERROR((VLOOKUP(A46,'Food Database'!$A$2:$E$105,4,FALSE) * B46) / 100, "")</f>
        <v/>
      </c>
      <c r="F46" s="4" t="str">
        <f>IFERROR((VLOOKUP(A46,'Food Database'!$A$2:$E$105,5,FALSE) * B46) / 100, "")</f>
        <v/>
      </c>
    </row>
    <row r="47" spans="1:6" x14ac:dyDescent="0.3">
      <c r="A47" s="3"/>
      <c r="C47" s="4" t="str">
        <f>IFERROR((VLOOKUP(A47,'Food Database'!$A$2:$E$105,2,FALSE) * B47) / 100, "")</f>
        <v/>
      </c>
      <c r="D47" s="4" t="str">
        <f>IFERROR((VLOOKUP(A47,'Food Database'!$A$2:$E$105,3,FALSE) * B47) / 100, "")</f>
        <v/>
      </c>
      <c r="E47" s="4" t="str">
        <f>IFERROR((VLOOKUP(A47,'Food Database'!$A$2:$E$105,4,FALSE) * B47) / 100, "")</f>
        <v/>
      </c>
      <c r="F47" s="4" t="str">
        <f>IFERROR((VLOOKUP(A47,'Food Database'!$A$2:$E$105,5,FALSE) * B47) / 100, "")</f>
        <v/>
      </c>
    </row>
    <row r="48" spans="1:6" x14ac:dyDescent="0.3">
      <c r="A48" s="3"/>
      <c r="C48" s="4" t="str">
        <f>IFERROR((VLOOKUP(A48,'Food Database'!$A$2:$E$105,2,FALSE) * B48) / 100, "")</f>
        <v/>
      </c>
      <c r="D48" s="4" t="str">
        <f>IFERROR((VLOOKUP(A48,'Food Database'!$A$2:$E$105,3,FALSE) * B48) / 100, "")</f>
        <v/>
      </c>
      <c r="E48" s="4" t="str">
        <f>IFERROR((VLOOKUP(A48,'Food Database'!$A$2:$E$105,4,FALSE) * B48) / 100, "")</f>
        <v/>
      </c>
      <c r="F48" s="4" t="str">
        <f>IFERROR((VLOOKUP(A48,'Food Database'!$A$2:$E$105,5,FALSE) * B48) / 100, "")</f>
        <v/>
      </c>
    </row>
    <row r="49" spans="1:6" x14ac:dyDescent="0.3">
      <c r="A49" s="3"/>
      <c r="C49" s="4" t="str">
        <f>IFERROR((VLOOKUP(A49,'Food Database'!$A$2:$E$105,2,FALSE) * B49) / 100, "")</f>
        <v/>
      </c>
      <c r="D49" s="4" t="str">
        <f>IFERROR((VLOOKUP(A49,'Food Database'!$A$2:$E$105,3,FALSE) * B49) / 100, "")</f>
        <v/>
      </c>
      <c r="E49" s="4" t="str">
        <f>IFERROR((VLOOKUP(A49,'Food Database'!$A$2:$E$105,4,FALSE) * B49) / 100, "")</f>
        <v/>
      </c>
      <c r="F49" s="4" t="str">
        <f>IFERROR((VLOOKUP(A49,'Food Database'!$A$2:$E$105,5,FALSE) * B49) / 100, "")</f>
        <v/>
      </c>
    </row>
    <row r="50" spans="1:6" x14ac:dyDescent="0.3">
      <c r="A50" s="3"/>
      <c r="C50" s="4" t="str">
        <f>IFERROR((VLOOKUP(A50,'Food Database'!$A$2:$E$105,2,FALSE) * B50) / 100, "")</f>
        <v/>
      </c>
      <c r="D50" s="4" t="str">
        <f>IFERROR((VLOOKUP(A50,'Food Database'!$A$2:$E$105,3,FALSE) * B50) / 100, "")</f>
        <v/>
      </c>
      <c r="E50" s="4" t="str">
        <f>IFERROR((VLOOKUP(A50,'Food Database'!$A$2:$E$105,4,FALSE) * B50) / 100, "")</f>
        <v/>
      </c>
      <c r="F50" s="4" t="str">
        <f>IFERROR((VLOOKUP(A50,'Food Database'!$A$2:$E$105,5,FALSE) * B50) / 100, "")</f>
        <v/>
      </c>
    </row>
    <row r="51" spans="1:6" x14ac:dyDescent="0.3">
      <c r="A51" s="3"/>
      <c r="C51" s="4" t="str">
        <f>IFERROR((VLOOKUP(A51,'Food Database'!$A$2:$E$105,2,FALSE) * B51) / 100, "")</f>
        <v/>
      </c>
      <c r="D51" s="4" t="str">
        <f>IFERROR((VLOOKUP(A51,'Food Database'!$A$2:$E$105,3,FALSE) * B51) / 100, "")</f>
        <v/>
      </c>
      <c r="E51" s="4" t="str">
        <f>IFERROR((VLOOKUP(A51,'Food Database'!$A$2:$E$105,4,FALSE) * B51) / 100, "")</f>
        <v/>
      </c>
      <c r="F51" s="4" t="str">
        <f>IFERROR((VLOOKUP(A51,'Food Database'!$A$2:$E$105,5,FALSE) * B51) / 100, "")</f>
        <v/>
      </c>
    </row>
    <row r="52" spans="1:6" x14ac:dyDescent="0.3">
      <c r="A52" s="3"/>
      <c r="C52" s="4" t="str">
        <f>IFERROR((VLOOKUP(A52,'Food Database'!$A$2:$E$105,2,FALSE) * B52) / 100, "")</f>
        <v/>
      </c>
      <c r="D52" s="4" t="str">
        <f>IFERROR((VLOOKUP(A52,'Food Database'!$A$2:$E$105,3,FALSE) * B52) / 100, "")</f>
        <v/>
      </c>
      <c r="E52" s="4" t="str">
        <f>IFERROR((VLOOKUP(A52,'Food Database'!$A$2:$E$105,4,FALSE) * B52) / 100, "")</f>
        <v/>
      </c>
      <c r="F52" s="4" t="str">
        <f>IFERROR((VLOOKUP(A52,'Food Database'!$A$2:$E$105,5,FALSE) * B52) / 100, "")</f>
        <v/>
      </c>
    </row>
    <row r="53" spans="1:6" x14ac:dyDescent="0.3">
      <c r="A53" s="3"/>
      <c r="C53" s="4" t="str">
        <f>IFERROR((VLOOKUP(A53,'Food Database'!$A$2:$E$105,2,FALSE) * B53) / 100, "")</f>
        <v/>
      </c>
      <c r="D53" s="4" t="str">
        <f>IFERROR((VLOOKUP(A53,'Food Database'!$A$2:$E$105,3,FALSE) * B53) / 100, "")</f>
        <v/>
      </c>
      <c r="E53" s="4" t="str">
        <f>IFERROR((VLOOKUP(A53,'Food Database'!$A$2:$E$105,4,FALSE) * B53) / 100, "")</f>
        <v/>
      </c>
      <c r="F53" s="4" t="str">
        <f>IFERROR((VLOOKUP(A53,'Food Database'!$A$2:$E$105,5,FALSE) * B53) / 100, "")</f>
        <v/>
      </c>
    </row>
    <row r="54" spans="1:6" x14ac:dyDescent="0.3">
      <c r="A54" s="3"/>
      <c r="C54" s="4" t="str">
        <f>IFERROR((VLOOKUP(A54,'Food Database'!$A$2:$E$105,2,FALSE) * B54) / 100, "")</f>
        <v/>
      </c>
      <c r="D54" s="4" t="str">
        <f>IFERROR((VLOOKUP(A54,'Food Database'!$A$2:$E$105,3,FALSE) * B54) / 100, "")</f>
        <v/>
      </c>
      <c r="E54" s="4" t="str">
        <f>IFERROR((VLOOKUP(A54,'Food Database'!$A$2:$E$105,4,FALSE) * B54) / 100, "")</f>
        <v/>
      </c>
      <c r="F54" s="4" t="str">
        <f>IFERROR((VLOOKUP(A54,'Food Database'!$A$2:$E$105,5,FALSE) * B54) / 100, "")</f>
        <v/>
      </c>
    </row>
    <row r="55" spans="1:6" x14ac:dyDescent="0.3">
      <c r="A55" s="3"/>
      <c r="C55" s="4" t="str">
        <f>IFERROR((VLOOKUP(A55,'Food Database'!$A$2:$E$105,2,FALSE) * B55) / 100, "")</f>
        <v/>
      </c>
      <c r="D55" s="4" t="str">
        <f>IFERROR((VLOOKUP(A55,'Food Database'!$A$2:$E$105,3,FALSE) * B55) / 100, "")</f>
        <v/>
      </c>
      <c r="E55" s="4" t="str">
        <f>IFERROR((VLOOKUP(A55,'Food Database'!$A$2:$E$105,4,FALSE) * B55) / 100, "")</f>
        <v/>
      </c>
      <c r="F55" s="4" t="str">
        <f>IFERROR((VLOOKUP(A55,'Food Database'!$A$2:$E$105,5,FALSE) * B55) / 100, "")</f>
        <v/>
      </c>
    </row>
    <row r="56" spans="1:6" x14ac:dyDescent="0.3">
      <c r="A56" s="3"/>
      <c r="C56" s="4" t="str">
        <f>IFERROR((VLOOKUP(A56,'Food Database'!$A$2:$E$105,2,FALSE) * B56) / 100, "")</f>
        <v/>
      </c>
      <c r="D56" s="4" t="str">
        <f>IFERROR((VLOOKUP(A56,'Food Database'!$A$2:$E$105,3,FALSE) * B56) / 100, "")</f>
        <v/>
      </c>
      <c r="E56" s="4" t="str">
        <f>IFERROR((VLOOKUP(A56,'Food Database'!$A$2:$E$105,4,FALSE) * B56) / 100, "")</f>
        <v/>
      </c>
      <c r="F56" s="4" t="str">
        <f>IFERROR((VLOOKUP(A56,'Food Database'!$A$2:$E$105,5,FALSE) * B56) / 100, "")</f>
        <v/>
      </c>
    </row>
    <row r="57" spans="1:6" x14ac:dyDescent="0.3">
      <c r="A57" s="3"/>
      <c r="C57" s="4" t="str">
        <f>IFERROR((VLOOKUP(A57,'Food Database'!$A$2:$E$105,2,FALSE) * B57) / 100, "")</f>
        <v/>
      </c>
      <c r="D57" s="4" t="str">
        <f>IFERROR((VLOOKUP(A57,'Food Database'!$A$2:$E$105,3,FALSE) * B57) / 100, "")</f>
        <v/>
      </c>
      <c r="E57" s="4" t="str">
        <f>IFERROR((VLOOKUP(A57,'Food Database'!$A$2:$E$105,4,FALSE) * B57) / 100, "")</f>
        <v/>
      </c>
      <c r="F57" s="4" t="str">
        <f>IFERROR((VLOOKUP(A57,'Food Database'!$A$2:$E$105,5,FALSE) * B57) / 100, "")</f>
        <v/>
      </c>
    </row>
    <row r="58" spans="1:6" x14ac:dyDescent="0.3">
      <c r="A58" s="3"/>
      <c r="C58" s="4" t="str">
        <f>IFERROR((VLOOKUP(A58,'Food Database'!$A$2:$E$105,2,FALSE) * B58) / 100, "")</f>
        <v/>
      </c>
      <c r="D58" s="4" t="str">
        <f>IFERROR((VLOOKUP(A58,'Food Database'!$A$2:$E$105,3,FALSE) * B58) / 100, "")</f>
        <v/>
      </c>
      <c r="E58" s="4" t="str">
        <f>IFERROR((VLOOKUP(A58,'Food Database'!$A$2:$E$105,4,FALSE) * B58) / 100, "")</f>
        <v/>
      </c>
      <c r="F58" s="4" t="str">
        <f>IFERROR((VLOOKUP(A58,'Food Database'!$A$2:$E$105,5,FALSE) * B58) / 100, "")</f>
        <v/>
      </c>
    </row>
    <row r="59" spans="1:6" x14ac:dyDescent="0.3">
      <c r="A59" s="3"/>
      <c r="C59" s="4" t="str">
        <f>IFERROR((VLOOKUP(A59,'Food Database'!$A$2:$E$105,2,FALSE) * B59) / 100, "")</f>
        <v/>
      </c>
      <c r="D59" s="4" t="str">
        <f>IFERROR((VLOOKUP(A59,'Food Database'!$A$2:$E$105,3,FALSE) * B59) / 100, "")</f>
        <v/>
      </c>
      <c r="E59" s="4" t="str">
        <f>IFERROR((VLOOKUP(A59,'Food Database'!$A$2:$E$105,4,FALSE) * B59) / 100, "")</f>
        <v/>
      </c>
      <c r="F59" s="4" t="str">
        <f>IFERROR((VLOOKUP(A59,'Food Database'!$A$2:$E$105,5,FALSE) * B59) / 100, "")</f>
        <v/>
      </c>
    </row>
    <row r="60" spans="1:6" x14ac:dyDescent="0.3">
      <c r="A60" s="3"/>
      <c r="C60" s="4" t="str">
        <f>IFERROR((VLOOKUP(A60,'Food Database'!$A$2:$E$105,2,FALSE) * B60) / 100, "")</f>
        <v/>
      </c>
      <c r="D60" s="4" t="str">
        <f>IFERROR((VLOOKUP(A60,'Food Database'!$A$2:$E$105,3,FALSE) * B60) / 100, "")</f>
        <v/>
      </c>
      <c r="E60" s="4" t="str">
        <f>IFERROR((VLOOKUP(A60,'Food Database'!$A$2:$E$105,4,FALSE) * B60) / 100, "")</f>
        <v/>
      </c>
      <c r="F60" s="4" t="str">
        <f>IFERROR((VLOOKUP(A60,'Food Database'!$A$2:$E$105,5,FALSE) * B60) / 100, "")</f>
        <v/>
      </c>
    </row>
    <row r="61" spans="1:6" x14ac:dyDescent="0.3">
      <c r="A61" s="3"/>
      <c r="C61" s="4" t="str">
        <f>IFERROR((VLOOKUP(A61,'Food Database'!$A$2:$E$105,2,FALSE) * B61) / 100, "")</f>
        <v/>
      </c>
      <c r="D61" s="4" t="str">
        <f>IFERROR((VLOOKUP(A61,'Food Database'!$A$2:$E$105,3,FALSE) * B61) / 100, "")</f>
        <v/>
      </c>
      <c r="E61" s="4" t="str">
        <f>IFERROR((VLOOKUP(A61,'Food Database'!$A$2:$E$105,4,FALSE) * B61) / 100, "")</f>
        <v/>
      </c>
      <c r="F61" s="4" t="str">
        <f>IFERROR((VLOOKUP(A61,'Food Database'!$A$2:$E$105,5,FALSE) * B61) / 100, "")</f>
        <v/>
      </c>
    </row>
    <row r="62" spans="1:6" x14ac:dyDescent="0.3">
      <c r="A62" s="3"/>
      <c r="C62" s="4" t="str">
        <f>IFERROR((VLOOKUP(A62,'Food Database'!$A$2:$E$105,2,FALSE) * B62) / 100, "")</f>
        <v/>
      </c>
      <c r="D62" s="4" t="str">
        <f>IFERROR((VLOOKUP(A62,'Food Database'!$A$2:$E$105,3,FALSE) * B62) / 100, "")</f>
        <v/>
      </c>
      <c r="E62" s="4" t="str">
        <f>IFERROR((VLOOKUP(A62,'Food Database'!$A$2:$E$105,4,FALSE) * B62) / 100, "")</f>
        <v/>
      </c>
      <c r="F62" s="4" t="str">
        <f>IFERROR((VLOOKUP(A62,'Food Database'!$A$2:$E$105,5,FALSE) * B62) / 100, "")</f>
        <v/>
      </c>
    </row>
    <row r="63" spans="1:6" x14ac:dyDescent="0.3">
      <c r="A63" s="3"/>
      <c r="C63" s="4" t="str">
        <f>IFERROR((VLOOKUP(A63,'Food Database'!$A$2:$E$105,2,FALSE) * B63) / 100, "")</f>
        <v/>
      </c>
      <c r="D63" s="4" t="str">
        <f>IFERROR((VLOOKUP(A63,'Food Database'!$A$2:$E$105,3,FALSE) * B63) / 100, "")</f>
        <v/>
      </c>
      <c r="E63" s="4" t="str">
        <f>IFERROR((VLOOKUP(A63,'Food Database'!$A$2:$E$105,4,FALSE) * B63) / 100, "")</f>
        <v/>
      </c>
      <c r="F63" s="4" t="str">
        <f>IFERROR((VLOOKUP(A63,'Food Database'!$A$2:$E$105,5,FALSE) * B63) / 100, "")</f>
        <v/>
      </c>
    </row>
    <row r="64" spans="1:6" x14ac:dyDescent="0.3">
      <c r="A64" s="3"/>
      <c r="C64" s="4" t="str">
        <f>IFERROR((VLOOKUP(A64,'Food Database'!$A$2:$E$105,2,FALSE) * B64) / 100, "")</f>
        <v/>
      </c>
      <c r="D64" s="4" t="str">
        <f>IFERROR((VLOOKUP(A64,'Food Database'!$A$2:$E$105,3,FALSE) * B64) / 100, "")</f>
        <v/>
      </c>
      <c r="E64" s="4" t="str">
        <f>IFERROR((VLOOKUP(A64,'Food Database'!$A$2:$E$105,4,FALSE) * B64) / 100, "")</f>
        <v/>
      </c>
      <c r="F64" s="4" t="str">
        <f>IFERROR((VLOOKUP(A64,'Food Database'!$A$2:$E$105,5,FALSE) * B64) / 100, "")</f>
        <v/>
      </c>
    </row>
    <row r="65" spans="1:6" x14ac:dyDescent="0.3">
      <c r="A65" s="3"/>
      <c r="C65" s="4" t="str">
        <f>IFERROR((VLOOKUP(A65,'Food Database'!$A$2:$E$105,2,FALSE) * B65) / 100, "")</f>
        <v/>
      </c>
      <c r="D65" s="4" t="str">
        <f>IFERROR((VLOOKUP(A65,'Food Database'!$A$2:$E$105,3,FALSE) * B65) / 100, "")</f>
        <v/>
      </c>
      <c r="E65" s="4" t="str">
        <f>IFERROR((VLOOKUP(A65,'Food Database'!$A$2:$E$105,4,FALSE) * B65) / 100, "")</f>
        <v/>
      </c>
      <c r="F65" s="4" t="str">
        <f>IFERROR((VLOOKUP(A65,'Food Database'!$A$2:$E$105,5,FALSE) * B65) / 100, "")</f>
        <v/>
      </c>
    </row>
    <row r="66" spans="1:6" x14ac:dyDescent="0.3">
      <c r="A66" s="3"/>
      <c r="C66" s="4" t="str">
        <f>IFERROR((VLOOKUP(A66,'Food Database'!$A$2:$E$105,2,FALSE) * B66) / 100, "")</f>
        <v/>
      </c>
      <c r="D66" s="4" t="str">
        <f>IFERROR((VLOOKUP(A66,'Food Database'!$A$2:$E$105,3,FALSE) * B66) / 100, "")</f>
        <v/>
      </c>
      <c r="E66" s="4" t="str">
        <f>IFERROR((VLOOKUP(A66,'Food Database'!$A$2:$E$105,4,FALSE) * B66) / 100, "")</f>
        <v/>
      </c>
      <c r="F66" s="4" t="str">
        <f>IFERROR((VLOOKUP(A66,'Food Database'!$A$2:$E$105,5,FALSE) * B66) / 100, "")</f>
        <v/>
      </c>
    </row>
    <row r="67" spans="1:6" x14ac:dyDescent="0.3">
      <c r="A67" s="3"/>
      <c r="C67" s="4" t="str">
        <f>IFERROR((VLOOKUP(A67,'Food Database'!$A$2:$E$105,2,FALSE) * B67) / 100, "")</f>
        <v/>
      </c>
      <c r="D67" s="4" t="str">
        <f>IFERROR((VLOOKUP(A67,'Food Database'!$A$2:$E$105,3,FALSE) * B67) / 100, "")</f>
        <v/>
      </c>
      <c r="E67" s="4" t="str">
        <f>IFERROR((VLOOKUP(A67,'Food Database'!$A$2:$E$105,4,FALSE) * B67) / 100, "")</f>
        <v/>
      </c>
      <c r="F67" s="4" t="str">
        <f>IFERROR((VLOOKUP(A67,'Food Database'!$A$2:$E$105,5,FALSE) * B67) / 100, "")</f>
        <v/>
      </c>
    </row>
    <row r="68" spans="1:6" x14ac:dyDescent="0.3">
      <c r="A68" s="3"/>
      <c r="C68" s="4" t="str">
        <f>IFERROR((VLOOKUP(A68,'Food Database'!$A$2:$E$105,2,FALSE) * B68) / 100, "")</f>
        <v/>
      </c>
      <c r="D68" s="4" t="str">
        <f>IFERROR((VLOOKUP(A68,'Food Database'!$A$2:$E$105,3,FALSE) * B68) / 100, "")</f>
        <v/>
      </c>
      <c r="E68" s="4" t="str">
        <f>IFERROR((VLOOKUP(A68,'Food Database'!$A$2:$E$105,4,FALSE) * B68) / 100, "")</f>
        <v/>
      </c>
      <c r="F68" s="4" t="str">
        <f>IFERROR((VLOOKUP(A68,'Food Database'!$A$2:$E$105,5,FALSE) * B68) / 100, "")</f>
        <v/>
      </c>
    </row>
    <row r="69" spans="1:6" x14ac:dyDescent="0.3">
      <c r="A69" s="3"/>
      <c r="C69" s="4" t="str">
        <f>IFERROR((VLOOKUP(A69,'Food Database'!$A$2:$E$105,2,FALSE) * B69) / 100, "")</f>
        <v/>
      </c>
      <c r="D69" s="4" t="str">
        <f>IFERROR((VLOOKUP(A69,'Food Database'!$A$2:$E$105,3,FALSE) * B69) / 100, "")</f>
        <v/>
      </c>
      <c r="E69" s="4" t="str">
        <f>IFERROR((VLOOKUP(A69,'Food Database'!$A$2:$E$105,4,FALSE) * B69) / 100, "")</f>
        <v/>
      </c>
      <c r="F69" s="4" t="str">
        <f>IFERROR((VLOOKUP(A69,'Food Database'!$A$2:$E$105,5,FALSE) * B69) / 100, "")</f>
        <v/>
      </c>
    </row>
    <row r="70" spans="1:6" x14ac:dyDescent="0.3">
      <c r="A70" s="3"/>
      <c r="C70" s="4" t="str">
        <f>IFERROR((VLOOKUP(A70,'Food Database'!$A$2:$E$105,2,FALSE) * B70) / 100, "")</f>
        <v/>
      </c>
      <c r="D70" s="4" t="str">
        <f>IFERROR((VLOOKUP(A70,'Food Database'!$A$2:$E$105,3,FALSE) * B70) / 100, "")</f>
        <v/>
      </c>
      <c r="E70" s="4" t="str">
        <f>IFERROR((VLOOKUP(A70,'Food Database'!$A$2:$E$105,4,FALSE) * B70) / 100, "")</f>
        <v/>
      </c>
      <c r="F70" s="4" t="str">
        <f>IFERROR((VLOOKUP(A70,'Food Database'!$A$2:$E$105,5,FALSE) * B70) / 100, "")</f>
        <v/>
      </c>
    </row>
    <row r="71" spans="1:6" x14ac:dyDescent="0.3">
      <c r="A71" s="3"/>
      <c r="C71" s="4" t="str">
        <f>IFERROR((VLOOKUP(A71,'Food Database'!$A$2:$E$105,2,FALSE) * B71) / 100, "")</f>
        <v/>
      </c>
      <c r="D71" s="4" t="str">
        <f>IFERROR((VLOOKUP(A71,'Food Database'!$A$2:$E$105,3,FALSE) * B71) / 100, "")</f>
        <v/>
      </c>
      <c r="E71" s="4" t="str">
        <f>IFERROR((VLOOKUP(A71,'Food Database'!$A$2:$E$105,4,FALSE) * B71) / 100, "")</f>
        <v/>
      </c>
      <c r="F71" s="4" t="str">
        <f>IFERROR((VLOOKUP(A71,'Food Database'!$A$2:$E$105,5,FALSE) * B71) / 100, "")</f>
        <v/>
      </c>
    </row>
    <row r="72" spans="1:6" x14ac:dyDescent="0.3">
      <c r="A72" s="3"/>
      <c r="C72" s="4" t="str">
        <f>IFERROR((VLOOKUP(A72,'Food Database'!$A$2:$E$105,2,FALSE) * B72) / 100, "")</f>
        <v/>
      </c>
      <c r="D72" s="4" t="str">
        <f>IFERROR((VLOOKUP(A72,'Food Database'!$A$2:$E$105,3,FALSE) * B72) / 100, "")</f>
        <v/>
      </c>
      <c r="E72" s="4" t="str">
        <f>IFERROR((VLOOKUP(A72,'Food Database'!$A$2:$E$105,4,FALSE) * B72) / 100, "")</f>
        <v/>
      </c>
      <c r="F72" s="4" t="str">
        <f>IFERROR((VLOOKUP(A72,'Food Database'!$A$2:$E$105,5,FALSE) * B72) / 100, "")</f>
        <v/>
      </c>
    </row>
  </sheetData>
  <mergeCells count="1">
    <mergeCell ref="J6:N6"/>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8CAFE9E-123D-4BA0-BE52-7A35E09FA6ED}">
          <x14:formula1>
            <xm:f>'Food Database'!$A$3:$A$205</xm:f>
          </x14:formula1>
          <xm:sqref>A2:A72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970B7-97A8-4EC0-8258-A37CDB449907}">
  <dimension ref="A1:N71"/>
  <sheetViews>
    <sheetView zoomScale="115" zoomScaleNormal="85" workbookViewId="0">
      <selection activeCell="H22" sqref="H22"/>
    </sheetView>
  </sheetViews>
  <sheetFormatPr defaultColWidth="9.109375" defaultRowHeight="14.4" x14ac:dyDescent="0.3"/>
  <cols>
    <col min="1" max="1" width="44.6640625" style="5" bestFit="1" customWidth="1"/>
    <col min="2" max="2" width="21.88671875" style="5" bestFit="1" customWidth="1"/>
    <col min="3" max="3" width="8.6640625" style="5" bestFit="1" customWidth="1"/>
    <col min="4" max="4" width="10.44140625" style="5" bestFit="1" customWidth="1"/>
    <col min="5" max="5" width="7.44140625" style="5" bestFit="1" customWidth="1"/>
    <col min="6" max="6" width="8.109375" style="5" bestFit="1" customWidth="1"/>
    <col min="7" max="8" width="9.109375" style="5"/>
    <col min="9" max="9" width="11.33203125" style="5" bestFit="1" customWidth="1"/>
    <col min="10" max="10" width="11" style="5" bestFit="1" customWidth="1"/>
    <col min="11" max="11" width="8.109375" style="5" bestFit="1" customWidth="1"/>
    <col min="12" max="12" width="7.109375" style="5" customWidth="1"/>
    <col min="13" max="13" width="8.6640625" style="5" bestFit="1" customWidth="1"/>
    <col min="14" max="14" width="11" style="5" customWidth="1"/>
    <col min="15" max="16384" width="9.109375" style="5"/>
  </cols>
  <sheetData>
    <row r="1" spans="1:14" ht="15" thickBot="1" x14ac:dyDescent="0.35">
      <c r="A1" s="1" t="s">
        <v>2</v>
      </c>
      <c r="B1" s="1" t="s">
        <v>52</v>
      </c>
      <c r="C1" s="2" t="s">
        <v>3</v>
      </c>
      <c r="D1" s="2" t="s">
        <v>4</v>
      </c>
      <c r="E1" s="2" t="s">
        <v>5</v>
      </c>
      <c r="F1" s="2" t="s">
        <v>6</v>
      </c>
    </row>
    <row r="2" spans="1:14" ht="15" thickTop="1" x14ac:dyDescent="0.3">
      <c r="A2" s="3" t="s">
        <v>8</v>
      </c>
      <c r="B2" s="3">
        <v>75</v>
      </c>
      <c r="C2" s="4">
        <f>IFERROR((VLOOKUP(A2,'Food Database'!$A$2:$E$105,2,FALSE) * B2) / 100, "")</f>
        <v>41.25</v>
      </c>
      <c r="D2" s="4">
        <f>IFERROR((VLOOKUP(A2,'Food Database'!$A$2:$E$105,3,FALSE) * B2) / 100, "")</f>
        <v>6.75</v>
      </c>
      <c r="E2" s="4">
        <f>IFERROR((VLOOKUP(A2,'Food Database'!$A$2:$E$105,4,FALSE) * B2) / 100, "")</f>
        <v>1.5</v>
      </c>
      <c r="F2" s="4">
        <f>IFERROR((VLOOKUP(A2,'Food Database'!$A$2:$E$105,5,FALSE) * B2) / 100, "")</f>
        <v>205.5</v>
      </c>
    </row>
    <row r="3" spans="1:14" x14ac:dyDescent="0.3">
      <c r="A3" s="3" t="s">
        <v>10</v>
      </c>
      <c r="B3" s="5">
        <v>70</v>
      </c>
      <c r="C3" s="4">
        <f>IFERROR((VLOOKUP(A3,'Food Database'!$A$2:$E$105,2,FALSE) * B3) / 100, "")</f>
        <v>0.7</v>
      </c>
      <c r="D3" s="4">
        <f>IFERROR((VLOOKUP(A3,'Food Database'!$A$2:$E$105,3,FALSE) * B3) / 100, "")</f>
        <v>17.5</v>
      </c>
      <c r="E3" s="4">
        <f>IFERROR((VLOOKUP(A3,'Food Database'!$A$2:$E$105,4,FALSE) * B3) / 100, "")</f>
        <v>21</v>
      </c>
      <c r="F3" s="4">
        <f>IFERROR((VLOOKUP(A3,'Food Database'!$A$2:$E$105,5,FALSE) * B3) / 100, "")</f>
        <v>261.8</v>
      </c>
    </row>
    <row r="4" spans="1:14" x14ac:dyDescent="0.3">
      <c r="A4" s="3" t="s">
        <v>12</v>
      </c>
      <c r="B4" s="5">
        <v>90</v>
      </c>
      <c r="C4" s="4">
        <f>IFERROR((VLOOKUP(A4,'Food Database'!$A$2:$E$105,2,FALSE) * B4) / 100, "")</f>
        <v>0.9900000000000001</v>
      </c>
      <c r="D4" s="4">
        <f>IFERROR((VLOOKUP(A4,'Food Database'!$A$2:$E$105,3,FALSE) * B4) / 100, "")</f>
        <v>11.7</v>
      </c>
      <c r="E4" s="4">
        <f>IFERROR((VLOOKUP(A4,'Food Database'!$A$2:$E$105,4,FALSE) * B4) / 100, "")</f>
        <v>9.9</v>
      </c>
      <c r="F4" s="4">
        <f>IFERROR((VLOOKUP(A4,'Food Database'!$A$2:$E$105,5,FALSE) * B4) / 100, "")</f>
        <v>139.86000000000001</v>
      </c>
    </row>
    <row r="5" spans="1:14" x14ac:dyDescent="0.3">
      <c r="A5" s="3" t="s">
        <v>62</v>
      </c>
      <c r="B5" s="5">
        <v>80</v>
      </c>
      <c r="C5" s="4">
        <f>IFERROR((VLOOKUP(A5,'Food Database'!$A$2:$E$105,2,FALSE) * B5) / 100, "")</f>
        <v>4.8</v>
      </c>
      <c r="D5" s="4">
        <f>IFERROR((VLOOKUP(A5,'Food Database'!$A$2:$E$105,3,FALSE) * B5) / 100, "")</f>
        <v>0.8</v>
      </c>
      <c r="E5" s="4">
        <f>IFERROR((VLOOKUP(A5,'Food Database'!$A$2:$E$105,4,FALSE) * B5) / 100, "")</f>
        <v>0.24</v>
      </c>
      <c r="F5" s="4">
        <f>IFERROR((VLOOKUP(A5,'Food Database'!$A$2:$E$105,5,FALSE) * B5) / 100, "")</f>
        <v>24.56</v>
      </c>
    </row>
    <row r="6" spans="1:14" x14ac:dyDescent="0.3">
      <c r="A6" s="3" t="s">
        <v>64</v>
      </c>
      <c r="B6" s="5">
        <v>85</v>
      </c>
      <c r="C6" s="4">
        <f>IFERROR((VLOOKUP(A6,'Food Database'!$A$2:$E$105,2,FALSE) * B6) / 100, "")</f>
        <v>8.5</v>
      </c>
      <c r="D6" s="4">
        <f>IFERROR((VLOOKUP(A6,'Food Database'!$A$2:$E$105,3,FALSE) * B6) / 100, "")</f>
        <v>0.76500000000000001</v>
      </c>
      <c r="E6" s="4">
        <f>IFERROR((VLOOKUP(A6,'Food Database'!$A$2:$E$105,4,FALSE) * B6) / 100, "")</f>
        <v>0.17</v>
      </c>
      <c r="F6" s="4">
        <f>IFERROR((VLOOKUP(A6,'Food Database'!$A$2:$E$105,5,FALSE) * B6) / 100, "")</f>
        <v>38.590000000000003</v>
      </c>
    </row>
    <row r="7" spans="1:14" ht="15" thickBot="1" x14ac:dyDescent="0.35">
      <c r="A7" s="3" t="s">
        <v>14</v>
      </c>
      <c r="B7" s="5">
        <v>200</v>
      </c>
      <c r="C7" s="4">
        <f>IFERROR((VLOOKUP(A7,'Food Database'!$A$2:$E$105,2,FALSE) * B7) / 100, "")</f>
        <v>23</v>
      </c>
      <c r="D7" s="4">
        <f>IFERROR((VLOOKUP(A7,'Food Database'!$A$2:$E$105,3,FALSE) * B7) / 100, "")</f>
        <v>6</v>
      </c>
      <c r="E7" s="4">
        <f>IFERROR((VLOOKUP(A7,'Food Database'!$A$2:$E$105,4,FALSE) * B7) / 100, "")</f>
        <v>3</v>
      </c>
      <c r="F7" s="4">
        <f>IFERROR((VLOOKUP(A7,'Food Database'!$A$2:$E$105,5,FALSE) * B7) / 100, "")</f>
        <v>143</v>
      </c>
    </row>
    <row r="8" spans="1:14" ht="15.6" thickTop="1" thickBot="1" x14ac:dyDescent="0.35">
      <c r="A8" s="3" t="s">
        <v>16</v>
      </c>
      <c r="B8" s="5">
        <v>100</v>
      </c>
      <c r="C8" s="4">
        <f>IFERROR((VLOOKUP(A8,'Food Database'!$A$2:$E$105,2,FALSE) * B8) / 100, "")</f>
        <v>60.4</v>
      </c>
      <c r="D8" s="4">
        <f>IFERROR((VLOOKUP(A8,'Food Database'!$A$2:$E$105,3,FALSE) * B8) / 100, "")</f>
        <v>30</v>
      </c>
      <c r="E8" s="4">
        <f>IFERROR((VLOOKUP(A8,'Food Database'!$A$2:$E$105,4,FALSE) * B8) / 100, "")</f>
        <v>2</v>
      </c>
      <c r="F8" s="4">
        <f>IFERROR((VLOOKUP(A8,'Food Database'!$A$2:$E$105,5,FALSE) * B8) / 100, "")</f>
        <v>379.6</v>
      </c>
      <c r="J8" s="14" t="s">
        <v>53</v>
      </c>
      <c r="K8" s="15"/>
      <c r="L8" s="15"/>
      <c r="M8" s="15"/>
      <c r="N8" s="16"/>
    </row>
    <row r="9" spans="1:14" ht="15.6" thickTop="1" thickBot="1" x14ac:dyDescent="0.35">
      <c r="A9" s="3" t="s">
        <v>71</v>
      </c>
      <c r="B9" s="5">
        <v>165</v>
      </c>
      <c r="C9" s="4">
        <f>IFERROR((VLOOKUP(A9,'Food Database'!$A$2:$E$105,2,FALSE) * B9) / 100, "")</f>
        <v>7.92</v>
      </c>
      <c r="D9" s="4">
        <f>IFERROR((VLOOKUP(A9,'Food Database'!$A$2:$E$105,3,FALSE) * B9) / 100, "")</f>
        <v>5.4450000000000003</v>
      </c>
      <c r="E9" s="4">
        <f>IFERROR((VLOOKUP(A9,'Food Database'!$A$2:$E$105,4,FALSE) * B9) / 100, "")</f>
        <v>4.95</v>
      </c>
      <c r="F9" s="4">
        <f>IFERROR((VLOOKUP(A9,'Food Database'!$A$2:$E$105,5,FALSE) * B9) / 100, "")</f>
        <v>98.01</v>
      </c>
      <c r="J9" s="6" t="s">
        <v>54</v>
      </c>
      <c r="K9" s="4" t="s">
        <v>55</v>
      </c>
      <c r="L9" s="4" t="s">
        <v>56</v>
      </c>
      <c r="M9" s="4" t="s">
        <v>57</v>
      </c>
      <c r="N9" s="4" t="s">
        <v>6</v>
      </c>
    </row>
    <row r="10" spans="1:14" ht="15.6" thickTop="1" thickBot="1" x14ac:dyDescent="0.35">
      <c r="A10" s="3" t="s">
        <v>20</v>
      </c>
      <c r="B10" s="5">
        <v>8</v>
      </c>
      <c r="C10" s="4">
        <f>IFERROR((VLOOKUP(A10,'Food Database'!$A$2:$E$105,2,FALSE) * B10) / 100, "")</f>
        <v>6.5920000000000005</v>
      </c>
      <c r="D10" s="4">
        <f>IFERROR((VLOOKUP(A10,'Food Database'!$A$2:$E$105,3,FALSE) * B10) / 100, "")</f>
        <v>2.4E-2</v>
      </c>
      <c r="E10" s="4">
        <f>IFERROR((VLOOKUP(A10,'Food Database'!$A$2:$E$105,4,FALSE) * B10) / 100, "")</f>
        <v>0</v>
      </c>
      <c r="F10" s="4">
        <f>IFERROR((VLOOKUP(A10,'Food Database'!$A$2:$E$105,5,FALSE) * B10) / 100, "")</f>
        <v>26.464000000000002</v>
      </c>
      <c r="J10" s="7" t="s">
        <v>58</v>
      </c>
      <c r="K10" s="7">
        <f>SUM(C2:C70)</f>
        <v>247.71700000000001</v>
      </c>
      <c r="L10" s="7">
        <f>SUM(D2:D70)</f>
        <v>175.69900000000004</v>
      </c>
      <c r="M10" s="7">
        <f>SUM(E2:E70)</f>
        <v>82.242692307692309</v>
      </c>
      <c r="N10" s="7">
        <f>SUM(F2:F70)</f>
        <v>2433.8482307692307</v>
      </c>
    </row>
    <row r="11" spans="1:14" ht="15.6" thickTop="1" thickBot="1" x14ac:dyDescent="0.35">
      <c r="A11" s="3" t="s">
        <v>30</v>
      </c>
      <c r="B11" s="5">
        <f>2.5*8</f>
        <v>20</v>
      </c>
      <c r="C11" s="4">
        <f>IFERROR((VLOOKUP(A11,'Food Database'!$A$2:$E$105,2,FALSE) * B11) / 100, "")</f>
        <v>2.74</v>
      </c>
      <c r="D11" s="4">
        <f>IFERROR((VLOOKUP(A11,'Food Database'!$A$2:$E$105,3,FALSE) * B11) / 100, "")</f>
        <v>3.04</v>
      </c>
      <c r="E11" s="4">
        <f>IFERROR((VLOOKUP(A11,'Food Database'!$A$2:$E$105,4,FALSE) * B11) / 100, "")</f>
        <v>13.04</v>
      </c>
      <c r="F11" s="4">
        <f>IFERROR((VLOOKUP(A11,'Food Database'!$A$2:$E$105,5,FALSE) * B11) / 100, "")</f>
        <v>140.48000000000002</v>
      </c>
      <c r="J11" s="7" t="s">
        <v>59</v>
      </c>
      <c r="K11" s="8">
        <f>(K10*4)/N10</f>
        <v>0.40711988014422368</v>
      </c>
      <c r="L11" s="8">
        <f>(L10*4)/N10</f>
        <v>0.28875917204495438</v>
      </c>
      <c r="M11" s="8">
        <f>(M10*9)/N10</f>
        <v>0.30412094781082205</v>
      </c>
      <c r="N11" s="8" t="s">
        <v>54</v>
      </c>
    </row>
    <row r="12" spans="1:14" ht="15" thickTop="1" x14ac:dyDescent="0.3">
      <c r="A12" s="3" t="s">
        <v>42</v>
      </c>
      <c r="B12" s="5">
        <v>180</v>
      </c>
      <c r="C12" s="4">
        <f>IFERROR((VLOOKUP(A12,'Food Database'!$A$2:$E$105,2,FALSE) * B12) / 100, "")</f>
        <v>6.5</v>
      </c>
      <c r="D12" s="4">
        <f>IFERROR((VLOOKUP(A12,'Food Database'!$A$2:$E$105,3,FALSE) * B12) / 100, "")</f>
        <v>15</v>
      </c>
      <c r="E12" s="4">
        <f>IFERROR((VLOOKUP(A12,'Food Database'!$A$2:$E$105,4,FALSE) * B12) / 100, "")</f>
        <v>0.36</v>
      </c>
      <c r="F12" s="4">
        <f>IFERROR((VLOOKUP(A12,'Food Database'!$A$2:$E$105,5,FALSE) * B12) / 100, "")</f>
        <v>89.24</v>
      </c>
    </row>
    <row r="13" spans="1:14" x14ac:dyDescent="0.3">
      <c r="A13" s="3" t="s">
        <v>74</v>
      </c>
      <c r="B13" s="5">
        <v>200</v>
      </c>
      <c r="C13" s="4">
        <f>IFERROR((VLOOKUP(A13,'Food Database'!$A$2:$E$105,2,FALSE) * B13) / 100, "")</f>
        <v>26.1</v>
      </c>
      <c r="D13" s="4">
        <f>IFERROR((VLOOKUP(A13,'Food Database'!$A$2:$E$105,3,FALSE) * B13) / 100, "")</f>
        <v>2.9</v>
      </c>
      <c r="E13" s="4">
        <f>IFERROR((VLOOKUP(A13,'Food Database'!$A$2:$E$105,4,FALSE) * B13) / 100, "")</f>
        <v>0.4</v>
      </c>
      <c r="F13" s="4">
        <f>IFERROR((VLOOKUP(A13,'Food Database'!$A$2:$E$105,5,FALSE) * B13) / 100, "")</f>
        <v>119.6</v>
      </c>
    </row>
    <row r="14" spans="1:14" x14ac:dyDescent="0.3">
      <c r="A14" s="3" t="s">
        <v>22</v>
      </c>
      <c r="B14" s="5">
        <v>200</v>
      </c>
      <c r="C14" s="4">
        <f>IFERROR((VLOOKUP(A14,'Food Database'!$A$2:$E$105,2,FALSE) * B14) / 100, "")</f>
        <v>0</v>
      </c>
      <c r="D14" s="4">
        <f>IFERROR((VLOOKUP(A14,'Food Database'!$A$2:$E$105,3,FALSE) * B14) / 100, "")</f>
        <v>62</v>
      </c>
      <c r="E14" s="4">
        <f>IFERROR((VLOOKUP(A14,'Food Database'!$A$2:$E$105,4,FALSE) * B14) / 100, "")</f>
        <v>7.2</v>
      </c>
      <c r="F14" s="4">
        <f>IFERROR((VLOOKUP(A14,'Food Database'!$A$2:$E$105,5,FALSE) * B14) / 100, "")</f>
        <v>312.8</v>
      </c>
    </row>
    <row r="15" spans="1:14" x14ac:dyDescent="0.3">
      <c r="A15" s="3" t="s">
        <v>23</v>
      </c>
      <c r="B15" s="5">
        <v>250</v>
      </c>
      <c r="C15" s="4">
        <f>IFERROR((VLOOKUP(A15,'Food Database'!$A$2:$E$105,2,FALSE) * B15) / 100, "")</f>
        <v>35</v>
      </c>
      <c r="D15" s="4">
        <f>IFERROR((VLOOKUP(A15,'Food Database'!$A$2:$E$105,3,FALSE) * B15) / 100, "")</f>
        <v>0</v>
      </c>
      <c r="E15" s="4">
        <f>IFERROR((VLOOKUP(A15,'Food Database'!$A$2:$E$105,4,FALSE) * B15) / 100, "")</f>
        <v>0</v>
      </c>
      <c r="F15" s="4">
        <f>IFERROR((VLOOKUP(A15,'Food Database'!$A$2:$E$105,5,FALSE) * B15) / 100, "")</f>
        <v>140</v>
      </c>
    </row>
    <row r="16" spans="1:14" x14ac:dyDescent="0.3">
      <c r="A16" s="3" t="s">
        <v>24</v>
      </c>
      <c r="B16" s="5">
        <v>40</v>
      </c>
      <c r="C16" s="4">
        <f>IFERROR((VLOOKUP(A16,'Food Database'!$A$2:$E$105,2,FALSE) * B16) / 100, "")</f>
        <v>21.2</v>
      </c>
      <c r="D16" s="4">
        <f>IFERROR((VLOOKUP(A16,'Food Database'!$A$2:$E$105,3,FALSE) * B16) / 100, "")</f>
        <v>4.4000000000000004</v>
      </c>
      <c r="E16" s="4">
        <f>IFERROR((VLOOKUP(A16,'Food Database'!$A$2:$E$105,4,FALSE) * B16) / 100, "")</f>
        <v>1.6</v>
      </c>
      <c r="F16" s="4">
        <f>IFERROR((VLOOKUP(A16,'Food Database'!$A$2:$E$105,5,FALSE) * B16) / 100, "")</f>
        <v>116.8</v>
      </c>
    </row>
    <row r="17" spans="1:6" x14ac:dyDescent="0.3">
      <c r="A17" s="3" t="s">
        <v>25</v>
      </c>
      <c r="B17" s="5">
        <v>75</v>
      </c>
      <c r="C17" s="4">
        <f>IFERROR((VLOOKUP(A17,'Food Database'!$A$2:$E$105,2,FALSE) * B17) / 100, "")</f>
        <v>2.0249999999999999</v>
      </c>
      <c r="D17" s="4">
        <f>IFERROR((VLOOKUP(A17,'Food Database'!$A$2:$E$105,3,FALSE) * B17) / 100, "")</f>
        <v>9.375</v>
      </c>
      <c r="E17" s="4">
        <f>IFERROR((VLOOKUP(A17,'Food Database'!$A$2:$E$105,4,FALSE) * B17) / 100, "")</f>
        <v>3.375</v>
      </c>
      <c r="F17" s="4">
        <f>IFERROR((VLOOKUP(A17,'Food Database'!$A$2:$E$105,5,FALSE) * B17) / 100, "")</f>
        <v>75.974999999999994</v>
      </c>
    </row>
    <row r="18" spans="1:6" x14ac:dyDescent="0.3">
      <c r="A18" s="3" t="s">
        <v>77</v>
      </c>
      <c r="B18" s="5">
        <f>(B13/(B13+125))*10</f>
        <v>6.1538461538461542</v>
      </c>
      <c r="C18" s="4">
        <f>IFERROR((VLOOKUP(A18,'Food Database'!$A$2:$E$105,2,FALSE) * B18) / 100, "")</f>
        <v>0</v>
      </c>
      <c r="D18" s="4">
        <f>IFERROR((VLOOKUP(A18,'Food Database'!$A$2:$E$105,3,FALSE) * B18) / 100, "")</f>
        <v>0</v>
      </c>
      <c r="E18" s="4">
        <f>IFERROR((VLOOKUP(A18,'Food Database'!$A$2:$E$105,4,FALSE) * B18) / 100, "")</f>
        <v>4.9230769230769234</v>
      </c>
      <c r="F18" s="4">
        <f>IFERROR((VLOOKUP(A18,'Food Database'!$A$2:$E$105,5,FALSE) * B18) / 100, "")</f>
        <v>44.307692307692314</v>
      </c>
    </row>
    <row r="19" spans="1:6" x14ac:dyDescent="0.3">
      <c r="A19" s="3" t="s">
        <v>75</v>
      </c>
      <c r="B19" s="5">
        <f>(B13/(B13+125))*15</f>
        <v>9.2307692307692317</v>
      </c>
      <c r="C19" s="4">
        <f>IFERROR((VLOOKUP(A19,'Food Database'!$A$2:$E$105,2,FALSE) * B19) / 100, "")</f>
        <v>0</v>
      </c>
      <c r="D19" s="4">
        <f>IFERROR((VLOOKUP(A19,'Food Database'!$A$2:$E$105,3,FALSE) * B19) / 100, "")</f>
        <v>0</v>
      </c>
      <c r="E19" s="4">
        <f>IFERROR((VLOOKUP(A19,'Food Database'!$A$2:$E$105,4,FALSE) * B19) / 100, "")</f>
        <v>8.5846153846153861</v>
      </c>
      <c r="F19" s="4">
        <f>IFERROR((VLOOKUP(A19,'Food Database'!$A$2:$E$105,5,FALSE) * B19) / 100, "")</f>
        <v>77.261538461538464</v>
      </c>
    </row>
    <row r="20" spans="1:6" x14ac:dyDescent="0.3">
      <c r="A20" s="3"/>
      <c r="C20" s="4" t="str">
        <f>IFERROR((VLOOKUP(A20,'Food Database'!$A$2:$E$105,2,FALSE) * B20) / 100, "")</f>
        <v/>
      </c>
      <c r="D20" s="4" t="str">
        <f>IFERROR((VLOOKUP(A20,'Food Database'!$A$2:$E$105,3,FALSE) * B20) / 100, "")</f>
        <v/>
      </c>
      <c r="E20" s="4" t="str">
        <f>IFERROR((VLOOKUP(A20,'Food Database'!$A$2:$E$105,4,FALSE) * B20) / 100, "")</f>
        <v/>
      </c>
      <c r="F20" s="4" t="str">
        <f>IFERROR((VLOOKUP(A20,'Food Database'!$A$2:$E$105,5,FALSE) * B20) / 100, "")</f>
        <v/>
      </c>
    </row>
    <row r="21" spans="1:6" x14ac:dyDescent="0.3">
      <c r="A21" s="3"/>
      <c r="C21" s="4" t="str">
        <f>IFERROR((VLOOKUP(A21,'Food Database'!$A$2:$E$105,2,FALSE) * B21) / 100, "")</f>
        <v/>
      </c>
      <c r="D21" s="4" t="str">
        <f>IFERROR((VLOOKUP(A21,'Food Database'!$A$2:$E$105,3,FALSE) * B21) / 100, "")</f>
        <v/>
      </c>
      <c r="E21" s="4" t="str">
        <f>IFERROR((VLOOKUP(A21,'Food Database'!$A$2:$E$105,4,FALSE) * B21) / 100, "")</f>
        <v/>
      </c>
      <c r="F21" s="4" t="str">
        <f>IFERROR((VLOOKUP(A21,'Food Database'!$A$2:$E$105,5,FALSE) * B21) / 100, "")</f>
        <v/>
      </c>
    </row>
    <row r="22" spans="1:6" x14ac:dyDescent="0.3">
      <c r="A22" s="3"/>
      <c r="C22" s="4" t="str">
        <f>IFERROR((VLOOKUP(A22,'Food Database'!$A$2:$E$105,2,FALSE) * B22) / 100, "")</f>
        <v/>
      </c>
      <c r="D22" s="4" t="str">
        <f>IFERROR((VLOOKUP(A22,'Food Database'!$A$2:$E$105,3,FALSE) * B22) / 100, "")</f>
        <v/>
      </c>
      <c r="E22" s="4" t="str">
        <f>IFERROR((VLOOKUP(A22,'Food Database'!$A$2:$E$105,4,FALSE) * B22) / 100, "")</f>
        <v/>
      </c>
      <c r="F22" s="4" t="str">
        <f>IFERROR((VLOOKUP(A22,'Food Database'!$A$2:$E$105,5,FALSE) * B22) / 100, "")</f>
        <v/>
      </c>
    </row>
    <row r="23" spans="1:6" x14ac:dyDescent="0.3">
      <c r="A23" s="3"/>
      <c r="C23" s="4" t="str">
        <f>IFERROR((VLOOKUP(A23,'Food Database'!$A$2:$E$105,2,FALSE) * B23) / 100, "")</f>
        <v/>
      </c>
      <c r="D23" s="4" t="str">
        <f>IFERROR((VLOOKUP(A23,'Food Database'!$A$2:$E$105,3,FALSE) * B23) / 100, "")</f>
        <v/>
      </c>
      <c r="E23" s="4" t="str">
        <f>IFERROR((VLOOKUP(A23,'Food Database'!$A$2:$E$105,4,FALSE) * B23) / 100, "")</f>
        <v/>
      </c>
      <c r="F23" s="4" t="str">
        <f>IFERROR((VLOOKUP(A23,'Food Database'!$A$2:$E$105,5,FALSE) * B23) / 100, "")</f>
        <v/>
      </c>
    </row>
    <row r="24" spans="1:6" x14ac:dyDescent="0.3">
      <c r="A24" s="3"/>
      <c r="C24" s="4" t="str">
        <f>IFERROR((VLOOKUP(A24,'Food Database'!$A$2:$E$105,2,FALSE) * B24) / 100, "")</f>
        <v/>
      </c>
      <c r="D24" s="4" t="str">
        <f>IFERROR((VLOOKUP(A24,'Food Database'!$A$2:$E$105,3,FALSE) * B24) / 100, "")</f>
        <v/>
      </c>
      <c r="E24" s="4" t="str">
        <f>IFERROR((VLOOKUP(A24,'Food Database'!$A$2:$E$105,4,FALSE) * B24) / 100, "")</f>
        <v/>
      </c>
      <c r="F24" s="4" t="str">
        <f>IFERROR((VLOOKUP(A24,'Food Database'!$A$2:$E$105,5,FALSE) * B24) / 100, "")</f>
        <v/>
      </c>
    </row>
    <row r="25" spans="1:6" x14ac:dyDescent="0.3">
      <c r="A25" s="3"/>
      <c r="C25" s="4" t="str">
        <f>IFERROR((VLOOKUP(A25,'Food Database'!$A$2:$E$105,2,FALSE) * B25) / 100, "")</f>
        <v/>
      </c>
      <c r="D25" s="4" t="str">
        <f>IFERROR((VLOOKUP(A25,'Food Database'!$A$2:$E$105,3,FALSE) * B25) / 100, "")</f>
        <v/>
      </c>
      <c r="E25" s="4" t="str">
        <f>IFERROR((VLOOKUP(A25,'Food Database'!$A$2:$E$105,4,FALSE) * B25) / 100, "")</f>
        <v/>
      </c>
      <c r="F25" s="4" t="str">
        <f>IFERROR((VLOOKUP(A25,'Food Database'!$A$2:$E$105,5,FALSE) * B25) / 100, "")</f>
        <v/>
      </c>
    </row>
    <row r="26" spans="1:6" x14ac:dyDescent="0.3">
      <c r="A26" s="3"/>
      <c r="C26" s="4" t="str">
        <f>IFERROR((VLOOKUP(A26,'Food Database'!$A$2:$E$105,2,FALSE) * B26) / 100, "")</f>
        <v/>
      </c>
      <c r="D26" s="4" t="str">
        <f>IFERROR((VLOOKUP(A26,'Food Database'!$A$2:$E$105,3,FALSE) * B26) / 100, "")</f>
        <v/>
      </c>
      <c r="E26" s="4" t="str">
        <f>IFERROR((VLOOKUP(A26,'Food Database'!$A$2:$E$105,4,FALSE) * B26) / 100, "")</f>
        <v/>
      </c>
      <c r="F26" s="4" t="str">
        <f>IFERROR((VLOOKUP(A26,'Food Database'!$A$2:$E$105,5,FALSE) * B26) / 100, "")</f>
        <v/>
      </c>
    </row>
    <row r="27" spans="1:6" x14ac:dyDescent="0.3">
      <c r="A27" s="3"/>
      <c r="C27" s="4" t="str">
        <f>IFERROR((VLOOKUP(A27,'Food Database'!$A$2:$E$105,2,FALSE) * B27) / 100, "")</f>
        <v/>
      </c>
      <c r="D27" s="4" t="str">
        <f>IFERROR((VLOOKUP(A27,'Food Database'!$A$2:$E$105,3,FALSE) * B27) / 100, "")</f>
        <v/>
      </c>
      <c r="E27" s="4" t="str">
        <f>IFERROR((VLOOKUP(A27,'Food Database'!$A$2:$E$105,4,FALSE) * B27) / 100, "")</f>
        <v/>
      </c>
      <c r="F27" s="4" t="str">
        <f>IFERROR((VLOOKUP(A27,'Food Database'!$A$2:$E$105,5,FALSE) * B27) / 100, "")</f>
        <v/>
      </c>
    </row>
    <row r="28" spans="1:6" x14ac:dyDescent="0.3">
      <c r="A28" s="3"/>
      <c r="C28" s="4" t="str">
        <f>IFERROR((VLOOKUP(A28,'Food Database'!$A$2:$E$105,2,FALSE) * B28) / 100, "")</f>
        <v/>
      </c>
      <c r="D28" s="4" t="str">
        <f>IFERROR((VLOOKUP(A28,'Food Database'!$A$2:$E$105,3,FALSE) * B28) / 100, "")</f>
        <v/>
      </c>
      <c r="E28" s="4" t="str">
        <f>IFERROR((VLOOKUP(A28,'Food Database'!$A$2:$E$105,4,FALSE) * B28) / 100, "")</f>
        <v/>
      </c>
      <c r="F28" s="4" t="str">
        <f>IFERROR((VLOOKUP(A28,'Food Database'!$A$2:$E$105,5,FALSE) * B28) / 100, "")</f>
        <v/>
      </c>
    </row>
    <row r="29" spans="1:6" x14ac:dyDescent="0.3">
      <c r="A29" s="3"/>
      <c r="C29" s="4" t="str">
        <f>IFERROR((VLOOKUP(A29,'Food Database'!$A$2:$E$105,2,FALSE) * B29) / 100, "")</f>
        <v/>
      </c>
      <c r="D29" s="4" t="str">
        <f>IFERROR((VLOOKUP(A29,'Food Database'!$A$2:$E$105,3,FALSE) * B29) / 100, "")</f>
        <v/>
      </c>
      <c r="E29" s="4" t="str">
        <f>IFERROR((VLOOKUP(A29,'Food Database'!$A$2:$E$105,4,FALSE) * B29) / 100, "")</f>
        <v/>
      </c>
      <c r="F29" s="4" t="str">
        <f>IFERROR((VLOOKUP(A29,'Food Database'!$A$2:$E$105,5,FALSE) * B29) / 100, "")</f>
        <v/>
      </c>
    </row>
    <row r="30" spans="1:6" x14ac:dyDescent="0.3">
      <c r="A30" s="3"/>
      <c r="C30" s="4" t="str">
        <f>IFERROR((VLOOKUP(A30,'Food Database'!$A$2:$E$105,2,FALSE) * B30) / 100, "")</f>
        <v/>
      </c>
      <c r="D30" s="4" t="str">
        <f>IFERROR((VLOOKUP(A30,'Food Database'!$A$2:$E$105,3,FALSE) * B30) / 100, "")</f>
        <v/>
      </c>
      <c r="E30" s="4" t="str">
        <f>IFERROR((VLOOKUP(A30,'Food Database'!$A$2:$E$105,4,FALSE) * B30) / 100, "")</f>
        <v/>
      </c>
      <c r="F30" s="4" t="str">
        <f>IFERROR((VLOOKUP(A30,'Food Database'!$A$2:$E$105,5,FALSE) * B30) / 100, "")</f>
        <v/>
      </c>
    </row>
    <row r="31" spans="1:6" x14ac:dyDescent="0.3">
      <c r="A31" s="3"/>
      <c r="C31" s="4" t="str">
        <f>IFERROR((VLOOKUP(A31,'Food Database'!$A$2:$E$105,2,FALSE) * B31) / 100, "")</f>
        <v/>
      </c>
      <c r="D31" s="4" t="str">
        <f>IFERROR((VLOOKUP(A31,'Food Database'!$A$2:$E$105,3,FALSE) * B31) / 100, "")</f>
        <v/>
      </c>
      <c r="E31" s="4" t="str">
        <f>IFERROR((VLOOKUP(A31,'Food Database'!$A$2:$E$105,4,FALSE) * B31) / 100, "")</f>
        <v/>
      </c>
      <c r="F31" s="4" t="str">
        <f>IFERROR((VLOOKUP(A31,'Food Database'!$A$2:$E$105,5,FALSE) * B31) / 100, "")</f>
        <v/>
      </c>
    </row>
    <row r="32" spans="1:6" x14ac:dyDescent="0.3">
      <c r="A32" s="3"/>
      <c r="C32" s="4" t="str">
        <f>IFERROR((VLOOKUP(A32,'Food Database'!$A$2:$E$105,2,FALSE) * B32) / 100, "")</f>
        <v/>
      </c>
      <c r="D32" s="4" t="str">
        <f>IFERROR((VLOOKUP(A32,'Food Database'!$A$2:$E$105,3,FALSE) * B32) / 100, "")</f>
        <v/>
      </c>
      <c r="E32" s="4" t="str">
        <f>IFERROR((VLOOKUP(A32,'Food Database'!$A$2:$E$105,4,FALSE) * B32) / 100, "")</f>
        <v/>
      </c>
      <c r="F32" s="4" t="str">
        <f>IFERROR((VLOOKUP(A32,'Food Database'!$A$2:$E$105,5,FALSE) * B32) / 100, "")</f>
        <v/>
      </c>
    </row>
    <row r="33" spans="1:6" x14ac:dyDescent="0.3">
      <c r="A33" s="3"/>
      <c r="C33" s="4" t="str">
        <f>IFERROR((VLOOKUP(A33,'Food Database'!$A$2:$E$105,2,FALSE) * B33) / 100, "")</f>
        <v/>
      </c>
      <c r="D33" s="4" t="str">
        <f>IFERROR((VLOOKUP(A33,'Food Database'!$A$2:$E$105,3,FALSE) * B33) / 100, "")</f>
        <v/>
      </c>
      <c r="E33" s="4" t="str">
        <f>IFERROR((VLOOKUP(A33,'Food Database'!$A$2:$E$105,4,FALSE) * B33) / 100, "")</f>
        <v/>
      </c>
      <c r="F33" s="4" t="str">
        <f>IFERROR((VLOOKUP(A33,'Food Database'!$A$2:$E$105,5,FALSE) * B33) / 100, "")</f>
        <v/>
      </c>
    </row>
    <row r="34" spans="1:6" x14ac:dyDescent="0.3">
      <c r="A34" s="3"/>
      <c r="C34" s="4" t="str">
        <f>IFERROR((VLOOKUP(A34,'Food Database'!$A$2:$E$105,2,FALSE) * B34) / 100, "")</f>
        <v/>
      </c>
      <c r="D34" s="4" t="str">
        <f>IFERROR((VLOOKUP(A34,'Food Database'!$A$2:$E$105,3,FALSE) * B34) / 100, "")</f>
        <v/>
      </c>
      <c r="E34" s="4" t="str">
        <f>IFERROR((VLOOKUP(A34,'Food Database'!$A$2:$E$105,4,FALSE) * B34) / 100, "")</f>
        <v/>
      </c>
      <c r="F34" s="4" t="str">
        <f>IFERROR((VLOOKUP(A34,'Food Database'!$A$2:$E$105,5,FALSE) * B34) / 100, "")</f>
        <v/>
      </c>
    </row>
    <row r="35" spans="1:6" x14ac:dyDescent="0.3">
      <c r="A35" s="3"/>
      <c r="C35" s="4" t="str">
        <f>IFERROR((VLOOKUP(A35,'Food Database'!$A$2:$E$105,2,FALSE) * B35) / 100, "")</f>
        <v/>
      </c>
      <c r="D35" s="4" t="str">
        <f>IFERROR((VLOOKUP(A35,'Food Database'!$A$2:$E$105,3,FALSE) * B35) / 100, "")</f>
        <v/>
      </c>
      <c r="E35" s="4" t="str">
        <f>IFERROR((VLOOKUP(A35,'Food Database'!$A$2:$E$105,4,FALSE) * B35) / 100, "")</f>
        <v/>
      </c>
      <c r="F35" s="4" t="str">
        <f>IFERROR((VLOOKUP(A35,'Food Database'!$A$2:$E$105,5,FALSE) * B35) / 100, "")</f>
        <v/>
      </c>
    </row>
    <row r="36" spans="1:6" x14ac:dyDescent="0.3">
      <c r="A36" s="3"/>
      <c r="C36" s="4" t="str">
        <f>IFERROR((VLOOKUP(A36,'Food Database'!$A$2:$E$105,2,FALSE) * B36) / 100, "")</f>
        <v/>
      </c>
      <c r="D36" s="4" t="str">
        <f>IFERROR((VLOOKUP(A36,'Food Database'!$A$2:$E$105,3,FALSE) * B36) / 100, "")</f>
        <v/>
      </c>
      <c r="E36" s="4" t="str">
        <f>IFERROR((VLOOKUP(A36,'Food Database'!$A$2:$E$105,4,FALSE) * B36) / 100, "")</f>
        <v/>
      </c>
      <c r="F36" s="4" t="str">
        <f>IFERROR((VLOOKUP(A36,'Food Database'!$A$2:$E$105,5,FALSE) * B36) / 100, "")</f>
        <v/>
      </c>
    </row>
    <row r="37" spans="1:6" x14ac:dyDescent="0.3">
      <c r="A37" s="3"/>
      <c r="C37" s="4" t="str">
        <f>IFERROR((VLOOKUP(A37,'Food Database'!$A$2:$E$105,2,FALSE) * B37) / 100, "")</f>
        <v/>
      </c>
      <c r="D37" s="4" t="str">
        <f>IFERROR((VLOOKUP(A37,'Food Database'!$A$2:$E$105,3,FALSE) * B37) / 100, "")</f>
        <v/>
      </c>
      <c r="E37" s="4" t="str">
        <f>IFERROR((VLOOKUP(A37,'Food Database'!$A$2:$E$105,4,FALSE) * B37) / 100, "")</f>
        <v/>
      </c>
      <c r="F37" s="4" t="str">
        <f>IFERROR((VLOOKUP(A37,'Food Database'!$A$2:$E$105,5,FALSE) * B37) / 100, "")</f>
        <v/>
      </c>
    </row>
    <row r="38" spans="1:6" x14ac:dyDescent="0.3">
      <c r="A38" s="3"/>
      <c r="C38" s="4" t="str">
        <f>IFERROR((VLOOKUP(A38,'Food Database'!$A$2:$E$105,2,FALSE) * B38) / 100, "")</f>
        <v/>
      </c>
      <c r="D38" s="4" t="str">
        <f>IFERROR((VLOOKUP(A38,'Food Database'!$A$2:$E$105,3,FALSE) * B38) / 100, "")</f>
        <v/>
      </c>
      <c r="E38" s="4" t="str">
        <f>IFERROR((VLOOKUP(A38,'Food Database'!$A$2:$E$105,4,FALSE) * B38) / 100, "")</f>
        <v/>
      </c>
      <c r="F38" s="4" t="str">
        <f>IFERROR((VLOOKUP(A38,'Food Database'!$A$2:$E$105,5,FALSE) * B38) / 100, "")</f>
        <v/>
      </c>
    </row>
    <row r="39" spans="1:6" x14ac:dyDescent="0.3">
      <c r="A39" s="3"/>
      <c r="C39" s="4" t="str">
        <f>IFERROR((VLOOKUP(A39,'Food Database'!$A$2:$E$105,2,FALSE) * B39) / 100, "")</f>
        <v/>
      </c>
      <c r="D39" s="4" t="str">
        <f>IFERROR((VLOOKUP(A39,'Food Database'!$A$2:$E$105,3,FALSE) * B39) / 100, "")</f>
        <v/>
      </c>
      <c r="E39" s="4" t="str">
        <f>IFERROR((VLOOKUP(A39,'Food Database'!$A$2:$E$105,4,FALSE) * B39) / 100, "")</f>
        <v/>
      </c>
      <c r="F39" s="4" t="str">
        <f>IFERROR((VLOOKUP(A39,'Food Database'!$A$2:$E$105,5,FALSE) * B39) / 100, "")</f>
        <v/>
      </c>
    </row>
    <row r="40" spans="1:6" x14ac:dyDescent="0.3">
      <c r="A40" s="3"/>
      <c r="C40" s="4" t="str">
        <f>IFERROR((VLOOKUP(A40,'Food Database'!$A$2:$E$105,2,FALSE) * B40) / 100, "")</f>
        <v/>
      </c>
      <c r="D40" s="4" t="str">
        <f>IFERROR((VLOOKUP(A40,'Food Database'!$A$2:$E$105,3,FALSE) * B40) / 100, "")</f>
        <v/>
      </c>
      <c r="E40" s="4" t="str">
        <f>IFERROR((VLOOKUP(A40,'Food Database'!$A$2:$E$105,4,FALSE) * B40) / 100, "")</f>
        <v/>
      </c>
      <c r="F40" s="4" t="str">
        <f>IFERROR((VLOOKUP(A40,'Food Database'!$A$2:$E$105,5,FALSE) * B40) / 100, "")</f>
        <v/>
      </c>
    </row>
    <row r="41" spans="1:6" x14ac:dyDescent="0.3">
      <c r="A41" s="3"/>
      <c r="C41" s="4" t="str">
        <f>IFERROR((VLOOKUP(A41,'Food Database'!$A$2:$E$105,2,FALSE) * B41) / 100, "")</f>
        <v/>
      </c>
      <c r="D41" s="4" t="str">
        <f>IFERROR((VLOOKUP(A41,'Food Database'!$A$2:$E$105,3,FALSE) * B41) / 100, "")</f>
        <v/>
      </c>
      <c r="E41" s="4" t="str">
        <f>IFERROR((VLOOKUP(A41,'Food Database'!$A$2:$E$105,4,FALSE) * B41) / 100, "")</f>
        <v/>
      </c>
      <c r="F41" s="4" t="str">
        <f>IFERROR((VLOOKUP(A41,'Food Database'!$A$2:$E$105,5,FALSE) * B41) / 100, "")</f>
        <v/>
      </c>
    </row>
    <row r="42" spans="1:6" x14ac:dyDescent="0.3">
      <c r="A42" s="3"/>
      <c r="C42" s="4" t="str">
        <f>IFERROR((VLOOKUP(A42,'Food Database'!$A$2:$E$105,2,FALSE) * B42) / 100, "")</f>
        <v/>
      </c>
      <c r="D42" s="4" t="str">
        <f>IFERROR((VLOOKUP(A42,'Food Database'!$A$2:$E$105,3,FALSE) * B42) / 100, "")</f>
        <v/>
      </c>
      <c r="E42" s="4" t="str">
        <f>IFERROR((VLOOKUP(A42,'Food Database'!$A$2:$E$105,4,FALSE) * B42) / 100, "")</f>
        <v/>
      </c>
      <c r="F42" s="4" t="str">
        <f>IFERROR((VLOOKUP(A42,'Food Database'!$A$2:$E$105,5,FALSE) * B42) / 100, "")</f>
        <v/>
      </c>
    </row>
    <row r="43" spans="1:6" x14ac:dyDescent="0.3">
      <c r="A43" s="3"/>
      <c r="C43" s="4" t="str">
        <f>IFERROR((VLOOKUP(A43,'Food Database'!$A$2:$E$105,2,FALSE) * B43) / 100, "")</f>
        <v/>
      </c>
      <c r="D43" s="4" t="str">
        <f>IFERROR((VLOOKUP(A43,'Food Database'!$A$2:$E$105,3,FALSE) * B43) / 100, "")</f>
        <v/>
      </c>
      <c r="E43" s="4" t="str">
        <f>IFERROR((VLOOKUP(A43,'Food Database'!$A$2:$E$105,4,FALSE) * B43) / 100, "")</f>
        <v/>
      </c>
      <c r="F43" s="4" t="str">
        <f>IFERROR((VLOOKUP(A43,'Food Database'!$A$2:$E$105,5,FALSE) * B43) / 100, "")</f>
        <v/>
      </c>
    </row>
    <row r="44" spans="1:6" x14ac:dyDescent="0.3">
      <c r="A44" s="3"/>
      <c r="C44" s="4" t="str">
        <f>IFERROR((VLOOKUP(A44,'Food Database'!$A$2:$E$105,2,FALSE) * B44) / 100, "")</f>
        <v/>
      </c>
      <c r="D44" s="4" t="str">
        <f>IFERROR((VLOOKUP(A44,'Food Database'!$A$2:$E$105,3,FALSE) * B44) / 100, "")</f>
        <v/>
      </c>
      <c r="E44" s="4" t="str">
        <f>IFERROR((VLOOKUP(A44,'Food Database'!$A$2:$E$105,4,FALSE) * B44) / 100, "")</f>
        <v/>
      </c>
      <c r="F44" s="4" t="str">
        <f>IFERROR((VLOOKUP(A44,'Food Database'!$A$2:$E$105,5,FALSE) * B44) / 100, "")</f>
        <v/>
      </c>
    </row>
    <row r="45" spans="1:6" x14ac:dyDescent="0.3">
      <c r="A45" s="3"/>
      <c r="C45" s="4" t="str">
        <f>IFERROR((VLOOKUP(A45,'Food Database'!$A$2:$E$105,2,FALSE) * B45) / 100, "")</f>
        <v/>
      </c>
      <c r="D45" s="4" t="str">
        <f>IFERROR((VLOOKUP(A45,'Food Database'!$A$2:$E$105,3,FALSE) * B45) / 100, "")</f>
        <v/>
      </c>
      <c r="E45" s="4" t="str">
        <f>IFERROR((VLOOKUP(A45,'Food Database'!$A$2:$E$105,4,FALSE) * B45) / 100, "")</f>
        <v/>
      </c>
      <c r="F45" s="4" t="str">
        <f>IFERROR((VLOOKUP(A45,'Food Database'!$A$2:$E$105,5,FALSE) * B45) / 100, "")</f>
        <v/>
      </c>
    </row>
    <row r="46" spans="1:6" x14ac:dyDescent="0.3">
      <c r="A46" s="3"/>
      <c r="C46" s="4" t="str">
        <f>IFERROR((VLOOKUP(A46,'Food Database'!$A$2:$E$105,2,FALSE) * B46) / 100, "")</f>
        <v/>
      </c>
      <c r="D46" s="4" t="str">
        <f>IFERROR((VLOOKUP(A46,'Food Database'!$A$2:$E$105,3,FALSE) * B46) / 100, "")</f>
        <v/>
      </c>
      <c r="E46" s="4" t="str">
        <f>IFERROR((VLOOKUP(A46,'Food Database'!$A$2:$E$105,4,FALSE) * B46) / 100, "")</f>
        <v/>
      </c>
      <c r="F46" s="4" t="str">
        <f>IFERROR((VLOOKUP(A46,'Food Database'!$A$2:$E$105,5,FALSE) * B46) / 100, "")</f>
        <v/>
      </c>
    </row>
    <row r="47" spans="1:6" x14ac:dyDescent="0.3">
      <c r="A47" s="3"/>
      <c r="C47" s="4" t="str">
        <f>IFERROR((VLOOKUP(A47,'Food Database'!$A$2:$E$105,2,FALSE) * B47) / 100, "")</f>
        <v/>
      </c>
      <c r="D47" s="4" t="str">
        <f>IFERROR((VLOOKUP(A47,'Food Database'!$A$2:$E$105,3,FALSE) * B47) / 100, "")</f>
        <v/>
      </c>
      <c r="E47" s="4" t="str">
        <f>IFERROR((VLOOKUP(A47,'Food Database'!$A$2:$E$105,4,FALSE) * B47) / 100, "")</f>
        <v/>
      </c>
      <c r="F47" s="4" t="str">
        <f>IFERROR((VLOOKUP(A47,'Food Database'!$A$2:$E$105,5,FALSE) * B47) / 100, "")</f>
        <v/>
      </c>
    </row>
    <row r="48" spans="1:6" x14ac:dyDescent="0.3">
      <c r="A48" s="3"/>
      <c r="C48" s="4" t="str">
        <f>IFERROR((VLOOKUP(A48,'Food Database'!$A$2:$E$105,2,FALSE) * B48) / 100, "")</f>
        <v/>
      </c>
      <c r="D48" s="4" t="str">
        <f>IFERROR((VLOOKUP(A48,'Food Database'!$A$2:$E$105,3,FALSE) * B48) / 100, "")</f>
        <v/>
      </c>
      <c r="E48" s="4" t="str">
        <f>IFERROR((VLOOKUP(A48,'Food Database'!$A$2:$E$105,4,FALSE) * B48) / 100, "")</f>
        <v/>
      </c>
      <c r="F48" s="4" t="str">
        <f>IFERROR((VLOOKUP(A48,'Food Database'!$A$2:$E$105,5,FALSE) * B48) / 100, "")</f>
        <v/>
      </c>
    </row>
    <row r="49" spans="1:6" x14ac:dyDescent="0.3">
      <c r="A49" s="3"/>
      <c r="C49" s="4" t="str">
        <f>IFERROR((VLOOKUP(A49,'Food Database'!$A$2:$E$105,2,FALSE) * B49) / 100, "")</f>
        <v/>
      </c>
      <c r="D49" s="4" t="str">
        <f>IFERROR((VLOOKUP(A49,'Food Database'!$A$2:$E$105,3,FALSE) * B49) / 100, "")</f>
        <v/>
      </c>
      <c r="E49" s="4" t="str">
        <f>IFERROR((VLOOKUP(A49,'Food Database'!$A$2:$E$105,4,FALSE) * B49) / 100, "")</f>
        <v/>
      </c>
      <c r="F49" s="4" t="str">
        <f>IFERROR((VLOOKUP(A49,'Food Database'!$A$2:$E$105,5,FALSE) * B49) / 100, "")</f>
        <v/>
      </c>
    </row>
    <row r="50" spans="1:6" x14ac:dyDescent="0.3">
      <c r="A50" s="3"/>
      <c r="C50" s="4" t="str">
        <f>IFERROR((VLOOKUP(A50,'Food Database'!$A$2:$E$105,2,FALSE) * B50) / 100, "")</f>
        <v/>
      </c>
      <c r="D50" s="4" t="str">
        <f>IFERROR((VLOOKUP(A50,'Food Database'!$A$2:$E$105,3,FALSE) * B50) / 100, "")</f>
        <v/>
      </c>
      <c r="E50" s="4" t="str">
        <f>IFERROR((VLOOKUP(A50,'Food Database'!$A$2:$E$105,4,FALSE) * B50) / 100, "")</f>
        <v/>
      </c>
      <c r="F50" s="4" t="str">
        <f>IFERROR((VLOOKUP(A50,'Food Database'!$A$2:$E$105,5,FALSE) * B50) / 100, "")</f>
        <v/>
      </c>
    </row>
    <row r="51" spans="1:6" x14ac:dyDescent="0.3">
      <c r="A51" s="3"/>
      <c r="C51" s="4" t="str">
        <f>IFERROR((VLOOKUP(A51,'Food Database'!$A$2:$E$105,2,FALSE) * B51) / 100, "")</f>
        <v/>
      </c>
      <c r="D51" s="4" t="str">
        <f>IFERROR((VLOOKUP(A51,'Food Database'!$A$2:$E$105,3,FALSE) * B51) / 100, "")</f>
        <v/>
      </c>
      <c r="E51" s="4" t="str">
        <f>IFERROR((VLOOKUP(A51,'Food Database'!$A$2:$E$105,4,FALSE) * B51) / 100, "")</f>
        <v/>
      </c>
      <c r="F51" s="4" t="str">
        <f>IFERROR((VLOOKUP(A51,'Food Database'!$A$2:$E$105,5,FALSE) * B51) / 100, "")</f>
        <v/>
      </c>
    </row>
    <row r="52" spans="1:6" x14ac:dyDescent="0.3">
      <c r="A52" s="3"/>
      <c r="C52" s="4" t="str">
        <f>IFERROR((VLOOKUP(A52,'Food Database'!$A$2:$E$105,2,FALSE) * B52) / 100, "")</f>
        <v/>
      </c>
      <c r="D52" s="4" t="str">
        <f>IFERROR((VLOOKUP(A52,'Food Database'!$A$2:$E$105,3,FALSE) * B52) / 100, "")</f>
        <v/>
      </c>
      <c r="E52" s="4" t="str">
        <f>IFERROR((VLOOKUP(A52,'Food Database'!$A$2:$E$105,4,FALSE) * B52) / 100, "")</f>
        <v/>
      </c>
      <c r="F52" s="4" t="str">
        <f>IFERROR((VLOOKUP(A52,'Food Database'!$A$2:$E$105,5,FALSE) * B52) / 100, "")</f>
        <v/>
      </c>
    </row>
    <row r="53" spans="1:6" x14ac:dyDescent="0.3">
      <c r="A53" s="3"/>
      <c r="C53" s="4" t="str">
        <f>IFERROR((VLOOKUP(A53,'Food Database'!$A$2:$E$105,2,FALSE) * B53) / 100, "")</f>
        <v/>
      </c>
      <c r="D53" s="4" t="str">
        <f>IFERROR((VLOOKUP(A53,'Food Database'!$A$2:$E$105,3,FALSE) * B53) / 100, "")</f>
        <v/>
      </c>
      <c r="E53" s="4" t="str">
        <f>IFERROR((VLOOKUP(A53,'Food Database'!$A$2:$E$105,4,FALSE) * B53) / 100, "")</f>
        <v/>
      </c>
      <c r="F53" s="4" t="str">
        <f>IFERROR((VLOOKUP(A53,'Food Database'!$A$2:$E$105,5,FALSE) * B53) / 100, "")</f>
        <v/>
      </c>
    </row>
    <row r="54" spans="1:6" x14ac:dyDescent="0.3">
      <c r="A54" s="3"/>
      <c r="C54" s="4" t="str">
        <f>IFERROR((VLOOKUP(A54,'Food Database'!$A$2:$E$105,2,FALSE) * B54) / 100, "")</f>
        <v/>
      </c>
      <c r="D54" s="4" t="str">
        <f>IFERROR((VLOOKUP(A54,'Food Database'!$A$2:$E$105,3,FALSE) * B54) / 100, "")</f>
        <v/>
      </c>
      <c r="E54" s="4" t="str">
        <f>IFERROR((VLOOKUP(A54,'Food Database'!$A$2:$E$105,4,FALSE) * B54) / 100, "")</f>
        <v/>
      </c>
      <c r="F54" s="4" t="str">
        <f>IFERROR((VLOOKUP(A54,'Food Database'!$A$2:$E$105,5,FALSE) * B54) / 100, "")</f>
        <v/>
      </c>
    </row>
    <row r="55" spans="1:6" x14ac:dyDescent="0.3">
      <c r="A55" s="3"/>
      <c r="C55" s="4" t="str">
        <f>IFERROR((VLOOKUP(A55,'Food Database'!$A$2:$E$105,2,FALSE) * B55) / 100, "")</f>
        <v/>
      </c>
      <c r="D55" s="4" t="str">
        <f>IFERROR((VLOOKUP(A55,'Food Database'!$A$2:$E$105,3,FALSE) * B55) / 100, "")</f>
        <v/>
      </c>
      <c r="E55" s="4" t="str">
        <f>IFERROR((VLOOKUP(A55,'Food Database'!$A$2:$E$105,4,FALSE) * B55) / 100, "")</f>
        <v/>
      </c>
      <c r="F55" s="4" t="str">
        <f>IFERROR((VLOOKUP(A55,'Food Database'!$A$2:$E$105,5,FALSE) * B55) / 100, "")</f>
        <v/>
      </c>
    </row>
    <row r="56" spans="1:6" x14ac:dyDescent="0.3">
      <c r="A56" s="3"/>
      <c r="C56" s="4" t="str">
        <f>IFERROR((VLOOKUP(A56,'Food Database'!$A$2:$E$105,2,FALSE) * B56) / 100, "")</f>
        <v/>
      </c>
      <c r="D56" s="4" t="str">
        <f>IFERROR((VLOOKUP(A56,'Food Database'!$A$2:$E$105,3,FALSE) * B56) / 100, "")</f>
        <v/>
      </c>
      <c r="E56" s="4" t="str">
        <f>IFERROR((VLOOKUP(A56,'Food Database'!$A$2:$E$105,4,FALSE) * B56) / 100, "")</f>
        <v/>
      </c>
      <c r="F56" s="4" t="str">
        <f>IFERROR((VLOOKUP(A56,'Food Database'!$A$2:$E$105,5,FALSE) * B56) / 100, "")</f>
        <v/>
      </c>
    </row>
    <row r="57" spans="1:6" x14ac:dyDescent="0.3">
      <c r="A57" s="3"/>
      <c r="C57" s="4" t="str">
        <f>IFERROR((VLOOKUP(A57,'Food Database'!$A$2:$E$105,2,FALSE) * B57) / 100, "")</f>
        <v/>
      </c>
      <c r="D57" s="4" t="str">
        <f>IFERROR((VLOOKUP(A57,'Food Database'!$A$2:$E$105,3,FALSE) * B57) / 100, "")</f>
        <v/>
      </c>
      <c r="E57" s="4" t="str">
        <f>IFERROR((VLOOKUP(A57,'Food Database'!$A$2:$E$105,4,FALSE) * B57) / 100, "")</f>
        <v/>
      </c>
      <c r="F57" s="4" t="str">
        <f>IFERROR((VLOOKUP(A57,'Food Database'!$A$2:$E$105,5,FALSE) * B57) / 100, "")</f>
        <v/>
      </c>
    </row>
    <row r="58" spans="1:6" x14ac:dyDescent="0.3">
      <c r="A58" s="3"/>
      <c r="C58" s="4" t="str">
        <f>IFERROR((VLOOKUP(A58,'Food Database'!$A$2:$E$105,2,FALSE) * B58) / 100, "")</f>
        <v/>
      </c>
      <c r="D58" s="4" t="str">
        <f>IFERROR((VLOOKUP(A58,'Food Database'!$A$2:$E$105,3,FALSE) * B58) / 100, "")</f>
        <v/>
      </c>
      <c r="E58" s="4" t="str">
        <f>IFERROR((VLOOKUP(A58,'Food Database'!$A$2:$E$105,4,FALSE) * B58) / 100, "")</f>
        <v/>
      </c>
      <c r="F58" s="4" t="str">
        <f>IFERROR((VLOOKUP(A58,'Food Database'!$A$2:$E$105,5,FALSE) * B58) / 100, "")</f>
        <v/>
      </c>
    </row>
    <row r="59" spans="1:6" x14ac:dyDescent="0.3">
      <c r="A59" s="3"/>
      <c r="C59" s="4" t="str">
        <f>IFERROR((VLOOKUP(A59,'Food Database'!$A$2:$E$105,2,FALSE) * B59) / 100, "")</f>
        <v/>
      </c>
      <c r="D59" s="4" t="str">
        <f>IFERROR((VLOOKUP(A59,'Food Database'!$A$2:$E$105,3,FALSE) * B59) / 100, "")</f>
        <v/>
      </c>
      <c r="E59" s="4" t="str">
        <f>IFERROR((VLOOKUP(A59,'Food Database'!$A$2:$E$105,4,FALSE) * B59) / 100, "")</f>
        <v/>
      </c>
      <c r="F59" s="4" t="str">
        <f>IFERROR((VLOOKUP(A59,'Food Database'!$A$2:$E$105,5,FALSE) * B59) / 100, "")</f>
        <v/>
      </c>
    </row>
    <row r="60" spans="1:6" x14ac:dyDescent="0.3">
      <c r="A60" s="3"/>
      <c r="C60" s="4" t="str">
        <f>IFERROR((VLOOKUP(A60,'Food Database'!$A$2:$E$105,2,FALSE) * B60) / 100, "")</f>
        <v/>
      </c>
      <c r="D60" s="4" t="str">
        <f>IFERROR((VLOOKUP(A60,'Food Database'!$A$2:$E$105,3,FALSE) * B60) / 100, "")</f>
        <v/>
      </c>
      <c r="E60" s="4" t="str">
        <f>IFERROR((VLOOKUP(A60,'Food Database'!$A$2:$E$105,4,FALSE) * B60) / 100, "")</f>
        <v/>
      </c>
      <c r="F60" s="4" t="str">
        <f>IFERROR((VLOOKUP(A60,'Food Database'!$A$2:$E$105,5,FALSE) * B60) / 100, "")</f>
        <v/>
      </c>
    </row>
    <row r="61" spans="1:6" x14ac:dyDescent="0.3">
      <c r="A61" s="3"/>
      <c r="C61" s="4" t="str">
        <f>IFERROR((VLOOKUP(A61,'Food Database'!$A$2:$E$105,2,FALSE) * B61) / 100, "")</f>
        <v/>
      </c>
      <c r="D61" s="4" t="str">
        <f>IFERROR((VLOOKUP(A61,'Food Database'!$A$2:$E$105,3,FALSE) * B61) / 100, "")</f>
        <v/>
      </c>
      <c r="E61" s="4" t="str">
        <f>IFERROR((VLOOKUP(A61,'Food Database'!$A$2:$E$105,4,FALSE) * B61) / 100, "")</f>
        <v/>
      </c>
      <c r="F61" s="4" t="str">
        <f>IFERROR((VLOOKUP(A61,'Food Database'!$A$2:$E$105,5,FALSE) * B61) / 100, "")</f>
        <v/>
      </c>
    </row>
    <row r="62" spans="1:6" x14ac:dyDescent="0.3">
      <c r="A62" s="3"/>
      <c r="C62" s="4" t="str">
        <f>IFERROR((VLOOKUP(A62,'Food Database'!$A$2:$E$105,2,FALSE) * B62) / 100, "")</f>
        <v/>
      </c>
      <c r="D62" s="4" t="str">
        <f>IFERROR((VLOOKUP(A62,'Food Database'!$A$2:$E$105,3,FALSE) * B62) / 100, "")</f>
        <v/>
      </c>
      <c r="E62" s="4" t="str">
        <f>IFERROR((VLOOKUP(A62,'Food Database'!$A$2:$E$105,4,FALSE) * B62) / 100, "")</f>
        <v/>
      </c>
      <c r="F62" s="4" t="str">
        <f>IFERROR((VLOOKUP(A62,'Food Database'!$A$2:$E$105,5,FALSE) * B62) / 100, "")</f>
        <v/>
      </c>
    </row>
    <row r="63" spans="1:6" x14ac:dyDescent="0.3">
      <c r="A63" s="3"/>
      <c r="C63" s="4" t="str">
        <f>IFERROR((VLOOKUP(A63,'Food Database'!$A$2:$E$105,2,FALSE) * B63) / 100, "")</f>
        <v/>
      </c>
      <c r="D63" s="4" t="str">
        <f>IFERROR((VLOOKUP(A63,'Food Database'!$A$2:$E$105,3,FALSE) * B63) / 100, "")</f>
        <v/>
      </c>
      <c r="E63" s="4" t="str">
        <f>IFERROR((VLOOKUP(A63,'Food Database'!$A$2:$E$105,4,FALSE) * B63) / 100, "")</f>
        <v/>
      </c>
      <c r="F63" s="4" t="str">
        <f>IFERROR((VLOOKUP(A63,'Food Database'!$A$2:$E$105,5,FALSE) * B63) / 100, "")</f>
        <v/>
      </c>
    </row>
    <row r="64" spans="1:6" x14ac:dyDescent="0.3">
      <c r="A64" s="3"/>
      <c r="C64" s="4" t="str">
        <f>IFERROR((VLOOKUP(A64,'Food Database'!$A$2:$E$105,2,FALSE) * B64) / 100, "")</f>
        <v/>
      </c>
      <c r="D64" s="4" t="str">
        <f>IFERROR((VLOOKUP(A64,'Food Database'!$A$2:$E$105,3,FALSE) * B64) / 100, "")</f>
        <v/>
      </c>
      <c r="E64" s="4" t="str">
        <f>IFERROR((VLOOKUP(A64,'Food Database'!$A$2:$E$105,4,FALSE) * B64) / 100, "")</f>
        <v/>
      </c>
      <c r="F64" s="4" t="str">
        <f>IFERROR((VLOOKUP(A64,'Food Database'!$A$2:$E$105,5,FALSE) * B64) / 100, "")</f>
        <v/>
      </c>
    </row>
    <row r="65" spans="1:6" x14ac:dyDescent="0.3">
      <c r="A65" s="3"/>
      <c r="C65" s="4" t="str">
        <f>IFERROR((VLOOKUP(A65,'Food Database'!$A$2:$E$105,2,FALSE) * B65) / 100, "")</f>
        <v/>
      </c>
      <c r="D65" s="4" t="str">
        <f>IFERROR((VLOOKUP(A65,'Food Database'!$A$2:$E$105,3,FALSE) * B65) / 100, "")</f>
        <v/>
      </c>
      <c r="E65" s="4" t="str">
        <f>IFERROR((VLOOKUP(A65,'Food Database'!$A$2:$E$105,4,FALSE) * B65) / 100, "")</f>
        <v/>
      </c>
      <c r="F65" s="4" t="str">
        <f>IFERROR((VLOOKUP(A65,'Food Database'!$A$2:$E$105,5,FALSE) * B65) / 100, "")</f>
        <v/>
      </c>
    </row>
    <row r="66" spans="1:6" x14ac:dyDescent="0.3">
      <c r="A66" s="3"/>
      <c r="C66" s="4" t="str">
        <f>IFERROR((VLOOKUP(A66,'Food Database'!$A$2:$E$105,2,FALSE) * B66) / 100, "")</f>
        <v/>
      </c>
      <c r="D66" s="4" t="str">
        <f>IFERROR((VLOOKUP(A66,'Food Database'!$A$2:$E$105,3,FALSE) * B66) / 100, "")</f>
        <v/>
      </c>
      <c r="E66" s="4" t="str">
        <f>IFERROR((VLOOKUP(A66,'Food Database'!$A$2:$E$105,4,FALSE) * B66) / 100, "")</f>
        <v/>
      </c>
      <c r="F66" s="4" t="str">
        <f>IFERROR((VLOOKUP(A66,'Food Database'!$A$2:$E$105,5,FALSE) * B66) / 100, "")</f>
        <v/>
      </c>
    </row>
    <row r="67" spans="1:6" x14ac:dyDescent="0.3">
      <c r="A67" s="3"/>
      <c r="C67" s="4" t="str">
        <f>IFERROR((VLOOKUP(A67,'Food Database'!$A$2:$E$105,2,FALSE) * B67) / 100, "")</f>
        <v/>
      </c>
      <c r="D67" s="4" t="str">
        <f>IFERROR((VLOOKUP(A67,'Food Database'!$A$2:$E$105,3,FALSE) * B67) / 100, "")</f>
        <v/>
      </c>
      <c r="E67" s="4" t="str">
        <f>IFERROR((VLOOKUP(A67,'Food Database'!$A$2:$E$105,4,FALSE) * B67) / 100, "")</f>
        <v/>
      </c>
      <c r="F67" s="4" t="str">
        <f>IFERROR((VLOOKUP(A67,'Food Database'!$A$2:$E$105,5,FALSE) * B67) / 100, "")</f>
        <v/>
      </c>
    </row>
    <row r="68" spans="1:6" x14ac:dyDescent="0.3">
      <c r="A68" s="3"/>
      <c r="C68" s="4" t="str">
        <f>IFERROR((VLOOKUP(A68,'Food Database'!$A$2:$E$105,2,FALSE) * B68) / 100, "")</f>
        <v/>
      </c>
      <c r="D68" s="4" t="str">
        <f>IFERROR((VLOOKUP(A68,'Food Database'!$A$2:$E$105,3,FALSE) * B68) / 100, "")</f>
        <v/>
      </c>
      <c r="E68" s="4" t="str">
        <f>IFERROR((VLOOKUP(A68,'Food Database'!$A$2:$E$105,4,FALSE) * B68) / 100, "")</f>
        <v/>
      </c>
      <c r="F68" s="4" t="str">
        <f>IFERROR((VLOOKUP(A68,'Food Database'!$A$2:$E$105,5,FALSE) * B68) / 100, "")</f>
        <v/>
      </c>
    </row>
    <row r="69" spans="1:6" x14ac:dyDescent="0.3">
      <c r="A69" s="3"/>
      <c r="C69" s="4" t="str">
        <f>IFERROR((VLOOKUP(A69,'Food Database'!$A$2:$E$105,2,FALSE) * B69) / 100, "")</f>
        <v/>
      </c>
      <c r="D69" s="4" t="str">
        <f>IFERROR((VLOOKUP(A69,'Food Database'!$A$2:$E$105,3,FALSE) * B69) / 100, "")</f>
        <v/>
      </c>
      <c r="E69" s="4" t="str">
        <f>IFERROR((VLOOKUP(A69,'Food Database'!$A$2:$E$105,4,FALSE) * B69) / 100, "")</f>
        <v/>
      </c>
      <c r="F69" s="4" t="str">
        <f>IFERROR((VLOOKUP(A69,'Food Database'!$A$2:$E$105,5,FALSE) * B69) / 100, "")</f>
        <v/>
      </c>
    </row>
    <row r="70" spans="1:6" x14ac:dyDescent="0.3">
      <c r="A70" s="3"/>
      <c r="C70" s="4" t="str">
        <f>IFERROR((VLOOKUP(A70,'Food Database'!$A$2:$E$105,2,FALSE) * B70) / 100, "")</f>
        <v/>
      </c>
      <c r="D70" s="4" t="str">
        <f>IFERROR((VLOOKUP(A70,'Food Database'!$A$2:$E$105,3,FALSE) * B70) / 100, "")</f>
        <v/>
      </c>
      <c r="E70" s="4" t="str">
        <f>IFERROR((VLOOKUP(A70,'Food Database'!$A$2:$E$105,4,FALSE) * B70) / 100, "")</f>
        <v/>
      </c>
      <c r="F70" s="4" t="str">
        <f>IFERROR((VLOOKUP(A70,'Food Database'!$A$2:$E$105,5,FALSE) * B70) / 100, "")</f>
        <v/>
      </c>
    </row>
    <row r="71" spans="1:6" x14ac:dyDescent="0.3">
      <c r="A71" s="3"/>
      <c r="C71" s="4" t="str">
        <f>IFERROR((VLOOKUP(A71,'Food Database'!$A$2:$E$105,2,FALSE) * B71) / 100, "")</f>
        <v/>
      </c>
      <c r="D71" s="4" t="str">
        <f>IFERROR((VLOOKUP(A71,'Food Database'!$A$2:$E$105,3,FALSE) * B71) / 100, "")</f>
        <v/>
      </c>
      <c r="E71" s="4" t="str">
        <f>IFERROR((VLOOKUP(A71,'Food Database'!$A$2:$E$105,4,FALSE) * B71) / 100, "")</f>
        <v/>
      </c>
      <c r="F71" s="4" t="str">
        <f>IFERROR((VLOOKUP(A71,'Food Database'!$A$2:$E$105,5,FALSE) * B71) / 100, "")</f>
        <v/>
      </c>
    </row>
  </sheetData>
  <mergeCells count="1">
    <mergeCell ref="J8:N8"/>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0044287-79C2-49B4-8FDF-A469B6A0CF30}">
          <x14:formula1>
            <xm:f>'Food Database'!$A$3:$A$205</xm:f>
          </x14:formula1>
          <xm:sqref>A2:A71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C5B3F-CA80-496B-A127-4FEFF0AADCEE}">
  <dimension ref="A1:N71"/>
  <sheetViews>
    <sheetView zoomScale="115" zoomScaleNormal="85" workbookViewId="0">
      <selection activeCell="B13" sqref="B13"/>
    </sheetView>
  </sheetViews>
  <sheetFormatPr defaultColWidth="9.109375" defaultRowHeight="14.4" x14ac:dyDescent="0.3"/>
  <cols>
    <col min="1" max="1" width="38.77734375" style="5" customWidth="1"/>
    <col min="2" max="2" width="21.88671875" style="5" bestFit="1" customWidth="1"/>
    <col min="3" max="3" width="8.6640625" style="5" bestFit="1" customWidth="1"/>
    <col min="4" max="4" width="10.44140625" style="5" bestFit="1" customWidth="1"/>
    <col min="5" max="5" width="7.44140625" style="5" bestFit="1" customWidth="1"/>
    <col min="6" max="6" width="8.109375" style="5" bestFit="1" customWidth="1"/>
    <col min="7" max="8" width="9.109375" style="5"/>
    <col min="9" max="9" width="11.33203125" style="5" bestFit="1" customWidth="1"/>
    <col min="10" max="10" width="11" style="5" bestFit="1" customWidth="1"/>
    <col min="11" max="11" width="8.109375" style="5" bestFit="1" customWidth="1"/>
    <col min="12" max="12" width="7.109375" style="5" customWidth="1"/>
    <col min="13" max="13" width="8.6640625" style="5" bestFit="1" customWidth="1"/>
    <col min="14" max="14" width="11" style="5" customWidth="1"/>
    <col min="15" max="16384" width="9.109375" style="5"/>
  </cols>
  <sheetData>
    <row r="1" spans="1:14" ht="15" thickBot="1" x14ac:dyDescent="0.35">
      <c r="A1" s="1" t="s">
        <v>2</v>
      </c>
      <c r="B1" s="1" t="s">
        <v>52</v>
      </c>
      <c r="C1" s="2" t="s">
        <v>3</v>
      </c>
      <c r="D1" s="2" t="s">
        <v>4</v>
      </c>
      <c r="E1" s="2" t="s">
        <v>5</v>
      </c>
      <c r="F1" s="2" t="s">
        <v>6</v>
      </c>
    </row>
    <row r="2" spans="1:14" ht="15" thickTop="1" x14ac:dyDescent="0.3">
      <c r="A2" s="3" t="s">
        <v>71</v>
      </c>
      <c r="B2" s="3">
        <v>85</v>
      </c>
      <c r="C2" s="4">
        <f>IFERROR((VLOOKUP(A2,'Food Database'!$A$2:$E$105,2,FALSE) * B2) / 100, "")</f>
        <v>4.08</v>
      </c>
      <c r="D2" s="4">
        <f>IFERROR((VLOOKUP(A2,'Food Database'!$A$2:$E$105,3,FALSE) * B2) / 100, "")</f>
        <v>2.8050000000000002</v>
      </c>
      <c r="E2" s="4">
        <f>IFERROR((VLOOKUP(A2,'Food Database'!$A$2:$E$105,4,FALSE) * B2) / 100, "")</f>
        <v>2.5499999999999998</v>
      </c>
      <c r="F2" s="4">
        <f>IFERROR((VLOOKUP(A2,'Food Database'!$A$2:$E$105,5,FALSE) * B2) / 100, "")</f>
        <v>50.49</v>
      </c>
    </row>
    <row r="3" spans="1:14" x14ac:dyDescent="0.3">
      <c r="A3" s="3" t="s">
        <v>72</v>
      </c>
      <c r="B3" s="5">
        <f>14.8*2</f>
        <v>29.6</v>
      </c>
      <c r="C3" s="4">
        <f>IFERROR((VLOOKUP(A3,'Food Database'!$A$2:$E$105,2,FALSE) * B3) / 100, "")</f>
        <v>18.648000000000003</v>
      </c>
      <c r="D3" s="4">
        <f>IFERROR((VLOOKUP(A3,'Food Database'!$A$2:$E$105,3,FALSE) * B3) / 100, "")</f>
        <v>2.0720000000000001</v>
      </c>
      <c r="E3" s="4">
        <f>IFERROR((VLOOKUP(A3,'Food Database'!$A$2:$E$105,4,FALSE) * B3) / 100, "")</f>
        <v>6.2160000000000002</v>
      </c>
      <c r="F3" s="4">
        <f>IFERROR((VLOOKUP(A3,'Food Database'!$A$2:$E$105,5,FALSE) * B3) / 100, "")</f>
        <v>138.82400000000001</v>
      </c>
    </row>
    <row r="4" spans="1:14" x14ac:dyDescent="0.3">
      <c r="A4" s="3" t="s">
        <v>24</v>
      </c>
      <c r="B4" s="3">
        <v>80</v>
      </c>
      <c r="C4" s="4">
        <f>IFERROR((VLOOKUP(A4,'Food Database'!$A$2:$E$105,2,FALSE) * B4) / 100, "")</f>
        <v>42.4</v>
      </c>
      <c r="D4" s="4">
        <f>IFERROR((VLOOKUP(A4,'Food Database'!$A$2:$E$105,3,FALSE) * B4) / 100, "")</f>
        <v>8.8000000000000007</v>
      </c>
      <c r="E4" s="4">
        <f>IFERROR((VLOOKUP(A4,'Food Database'!$A$2:$E$105,4,FALSE) * B4) / 100, "")</f>
        <v>3.2</v>
      </c>
      <c r="F4" s="4">
        <f>IFERROR((VLOOKUP(A4,'Food Database'!$A$2:$E$105,5,FALSE) * B4) / 100, "")</f>
        <v>233.6</v>
      </c>
    </row>
    <row r="5" spans="1:14" x14ac:dyDescent="0.3">
      <c r="A5" s="3" t="s">
        <v>12</v>
      </c>
      <c r="B5" s="5">
        <v>45</v>
      </c>
      <c r="C5" s="4">
        <f>IFERROR((VLOOKUP(A5,'Food Database'!$A$2:$E$105,2,FALSE) * B5) / 100, "")</f>
        <v>0.49500000000000005</v>
      </c>
      <c r="D5" s="4">
        <f>IFERROR((VLOOKUP(A5,'Food Database'!$A$2:$E$105,3,FALSE) * B5) / 100, "")</f>
        <v>5.85</v>
      </c>
      <c r="E5" s="4">
        <f>IFERROR((VLOOKUP(A5,'Food Database'!$A$2:$E$105,4,FALSE) * B5) / 100, "")</f>
        <v>4.95</v>
      </c>
      <c r="F5" s="4">
        <f>IFERROR((VLOOKUP(A5,'Food Database'!$A$2:$E$105,5,FALSE) * B5) / 100, "")</f>
        <v>69.930000000000007</v>
      </c>
    </row>
    <row r="6" spans="1:14" x14ac:dyDescent="0.3">
      <c r="A6" s="3" t="s">
        <v>67</v>
      </c>
      <c r="B6" s="5">
        <v>30</v>
      </c>
      <c r="C6" s="4">
        <f>IFERROR((VLOOKUP(A6,'Food Database'!$A$2:$E$105,2,FALSE) * B6) / 100, "")</f>
        <v>0.39</v>
      </c>
      <c r="D6" s="4">
        <f>IFERROR((VLOOKUP(A6,'Food Database'!$A$2:$E$105,3,FALSE) * B6) / 100, "")</f>
        <v>7.47</v>
      </c>
      <c r="E6" s="4">
        <f>IFERROR((VLOOKUP(A6,'Food Database'!$A$2:$E$105,4,FALSE) * B6) / 100, "")</f>
        <v>9.93</v>
      </c>
      <c r="F6" s="4">
        <f>IFERROR((VLOOKUP(A6,'Food Database'!$A$2:$E$105,5,FALSE) * B6) / 100, "")</f>
        <v>120.81000000000002</v>
      </c>
    </row>
    <row r="7" spans="1:14" x14ac:dyDescent="0.3">
      <c r="A7" s="3" t="s">
        <v>68</v>
      </c>
      <c r="B7" s="5">
        <v>36</v>
      </c>
      <c r="C7" s="4">
        <f>IFERROR((VLOOKUP(A7,'Food Database'!$A$2:$E$105,2,FALSE) * B7) / 100, "")</f>
        <v>0.75600000000000012</v>
      </c>
      <c r="D7" s="4">
        <f>IFERROR((VLOOKUP(A7,'Food Database'!$A$2:$E$105,3,FALSE) * B7) / 100, "")</f>
        <v>5.3280000000000003</v>
      </c>
      <c r="E7" s="4">
        <f>IFERROR((VLOOKUP(A7,'Food Database'!$A$2:$E$105,4,FALSE) * B7) / 100, "")</f>
        <v>1.3679999999999999</v>
      </c>
      <c r="F7" s="4">
        <f>IFERROR((VLOOKUP(A7,'Food Database'!$A$2:$E$105,5,FALSE) * B7) / 100, "")</f>
        <v>36.648000000000003</v>
      </c>
    </row>
    <row r="8" spans="1:14" ht="15" thickBot="1" x14ac:dyDescent="0.35">
      <c r="A8" s="3" t="s">
        <v>69</v>
      </c>
      <c r="B8" s="5">
        <v>235</v>
      </c>
      <c r="C8" s="4">
        <f>IFERROR((VLOOKUP(A8,'Food Database'!$A$2:$E$105,2,FALSE) * B8) / 100, "")</f>
        <v>32.9</v>
      </c>
      <c r="D8" s="4">
        <f>IFERROR((VLOOKUP(A8,'Food Database'!$A$2:$E$105,3,FALSE) * B8) / 100, "")</f>
        <v>0.47</v>
      </c>
      <c r="E8" s="4">
        <f>IFERROR((VLOOKUP(A8,'Food Database'!$A$2:$E$105,4,FALSE) * B8) / 100, "")</f>
        <v>0.23499999999999999</v>
      </c>
      <c r="F8" s="4">
        <f>IFERROR((VLOOKUP(A8,'Food Database'!$A$2:$E$105,5,FALSE) * B8) / 100, "")</f>
        <v>135.59499999999997</v>
      </c>
    </row>
    <row r="9" spans="1:14" ht="15.6" thickTop="1" thickBot="1" x14ac:dyDescent="0.35">
      <c r="A9" s="3" t="s">
        <v>74</v>
      </c>
      <c r="B9" s="5">
        <v>125</v>
      </c>
      <c r="C9" s="4">
        <f>IFERROR((VLOOKUP(A9,'Food Database'!$A$2:$E$105,2,FALSE) * B9) / 100, "")</f>
        <v>16.3125</v>
      </c>
      <c r="D9" s="4">
        <f>IFERROR((VLOOKUP(A9,'Food Database'!$A$2:$E$105,3,FALSE) * B9) / 100, "")</f>
        <v>1.8125</v>
      </c>
      <c r="E9" s="4">
        <f>IFERROR((VLOOKUP(A9,'Food Database'!$A$2:$E$105,4,FALSE) * B9) / 100, "")</f>
        <v>0.25</v>
      </c>
      <c r="F9" s="4">
        <f>IFERROR((VLOOKUP(A9,'Food Database'!$A$2:$E$105,5,FALSE) * B9) / 100, "")</f>
        <v>74.75</v>
      </c>
      <c r="J9" s="14" t="s">
        <v>53</v>
      </c>
      <c r="K9" s="15"/>
      <c r="L9" s="15"/>
      <c r="M9" s="15"/>
      <c r="N9" s="16"/>
    </row>
    <row r="10" spans="1:14" ht="15.6" thickTop="1" thickBot="1" x14ac:dyDescent="0.35">
      <c r="A10" s="3" t="s">
        <v>22</v>
      </c>
      <c r="B10" s="5">
        <v>125</v>
      </c>
      <c r="C10" s="4">
        <f>IFERROR((VLOOKUP(A10,'Food Database'!$A$2:$E$105,2,FALSE) * B10) / 100, "")</f>
        <v>0</v>
      </c>
      <c r="D10" s="4">
        <f>IFERROR((VLOOKUP(A10,'Food Database'!$A$2:$E$105,3,FALSE) * B10) / 100, "")</f>
        <v>38.75</v>
      </c>
      <c r="E10" s="4">
        <f>IFERROR((VLOOKUP(A10,'Food Database'!$A$2:$E$105,4,FALSE) * B10) / 100, "")</f>
        <v>4.5</v>
      </c>
      <c r="F10" s="4">
        <f>IFERROR((VLOOKUP(A10,'Food Database'!$A$2:$E$105,5,FALSE) * B10) / 100, "")</f>
        <v>195.5</v>
      </c>
      <c r="J10" s="6" t="s">
        <v>54</v>
      </c>
      <c r="K10" s="4" t="s">
        <v>55</v>
      </c>
      <c r="L10" s="4" t="s">
        <v>56</v>
      </c>
      <c r="M10" s="4" t="s">
        <v>57</v>
      </c>
      <c r="N10" s="4" t="s">
        <v>6</v>
      </c>
    </row>
    <row r="11" spans="1:14" ht="28.2" customHeight="1" thickTop="1" thickBot="1" x14ac:dyDescent="0.35">
      <c r="A11" s="11" t="s">
        <v>70</v>
      </c>
      <c r="B11" s="5">
        <v>100</v>
      </c>
      <c r="C11" s="4">
        <f>IFERROR((VLOOKUP(A11,'Food Database'!$A$2:$E$105,2,FALSE) * B11) / 100, "")</f>
        <v>6</v>
      </c>
      <c r="D11" s="4">
        <f>IFERROR((VLOOKUP(A11,'Food Database'!$A$2:$E$105,3,FALSE) * B11) / 100, "")</f>
        <v>1</v>
      </c>
      <c r="E11" s="4">
        <f>IFERROR((VLOOKUP(A11,'Food Database'!$A$2:$E$105,4,FALSE) * B11) / 100, "")</f>
        <v>0.2</v>
      </c>
      <c r="F11" s="4">
        <f>IFERROR((VLOOKUP(A11,'Food Database'!$A$2:$E$105,5,FALSE) * B11) / 100, "")</f>
        <v>29.8</v>
      </c>
      <c r="J11" s="7" t="s">
        <v>58</v>
      </c>
      <c r="K11" s="7">
        <f>SUM(C2:C70)</f>
        <v>144.98150000000001</v>
      </c>
      <c r="L11" s="7">
        <f>SUM(D2:D70)</f>
        <v>86.357500000000002</v>
      </c>
      <c r="M11" s="7">
        <f>SUM(E2:E70)</f>
        <v>44.541307692307697</v>
      </c>
      <c r="N11" s="7">
        <f>SUM(F2:F70)</f>
        <v>1326.2277692307689</v>
      </c>
    </row>
    <row r="12" spans="1:14" ht="15.6" thickTop="1" thickBot="1" x14ac:dyDescent="0.35">
      <c r="A12" s="3" t="s">
        <v>61</v>
      </c>
      <c r="B12" s="5">
        <v>180</v>
      </c>
      <c r="C12" s="4">
        <f>IFERROR((VLOOKUP(A12,'Food Database'!$A$2:$E$105,2,FALSE) * B12) / 100, "")</f>
        <v>23</v>
      </c>
      <c r="D12" s="4">
        <f>IFERROR((VLOOKUP(A12,'Food Database'!$A$2:$E$105,3,FALSE) * B12) / 100, "")</f>
        <v>12</v>
      </c>
      <c r="E12" s="4">
        <f>IFERROR((VLOOKUP(A12,'Food Database'!$A$2:$E$105,4,FALSE) * B12) / 100, "")</f>
        <v>2.7000000000000006</v>
      </c>
      <c r="F12" s="4">
        <f>IFERROR((VLOOKUP(A12,'Food Database'!$A$2:$E$105,5,FALSE) * B12) / 100, "")</f>
        <v>164.3</v>
      </c>
      <c r="J12" s="7" t="s">
        <v>59</v>
      </c>
      <c r="K12" s="8">
        <f>(K11*4)/N11</f>
        <v>0.43727481316151706</v>
      </c>
      <c r="L12" s="8">
        <f>(L11*4)/N11</f>
        <v>0.26046053929360441</v>
      </c>
      <c r="M12" s="8">
        <f>(M11*9)/N11</f>
        <v>0.30226464754487881</v>
      </c>
      <c r="N12" s="8" t="s">
        <v>54</v>
      </c>
    </row>
    <row r="13" spans="1:14" ht="15" thickTop="1" x14ac:dyDescent="0.3">
      <c r="A13" s="3" t="s">
        <v>77</v>
      </c>
      <c r="B13" s="5">
        <f>(B9/(B9+200))*10</f>
        <v>3.8461538461538463</v>
      </c>
      <c r="C13" s="4">
        <f>IFERROR((VLOOKUP(A13,'Food Database'!$A$2:$E$105,2,FALSE) * B13) / 100, "")</f>
        <v>0</v>
      </c>
      <c r="D13" s="4">
        <f>IFERROR((VLOOKUP(A13,'Food Database'!$A$2:$E$105,3,FALSE) * B13) / 100, "")</f>
        <v>0</v>
      </c>
      <c r="E13" s="4">
        <f>IFERROR((VLOOKUP(A13,'Food Database'!$A$2:$E$105,4,FALSE) * B13) / 100, "")</f>
        <v>3.0769230769230766</v>
      </c>
      <c r="F13" s="4">
        <f>IFERROR((VLOOKUP(A13,'Food Database'!$A$2:$E$105,5,FALSE) * B13) / 100, "")</f>
        <v>27.692307692307693</v>
      </c>
    </row>
    <row r="14" spans="1:14" x14ac:dyDescent="0.3">
      <c r="A14" s="3" t="s">
        <v>75</v>
      </c>
      <c r="B14" s="5">
        <f>(B9/(B9+200))*15</f>
        <v>5.7692307692307692</v>
      </c>
      <c r="C14" s="4">
        <f>IFERROR((VLOOKUP(A14,'Food Database'!$A$2:$E$105,2,FALSE) * B14) / 100, "")</f>
        <v>0</v>
      </c>
      <c r="D14" s="4">
        <f>IFERROR((VLOOKUP(A14,'Food Database'!$A$2:$E$105,3,FALSE) * B14) / 100, "")</f>
        <v>0</v>
      </c>
      <c r="E14" s="4">
        <f>IFERROR((VLOOKUP(A14,'Food Database'!$A$2:$E$105,4,FALSE) * B14) / 100, "")</f>
        <v>5.3653846153846159</v>
      </c>
      <c r="F14" s="4">
        <f>IFERROR((VLOOKUP(A14,'Food Database'!$A$2:$E$105,5,FALSE) * B14) / 100, "")</f>
        <v>48.288461538461533</v>
      </c>
    </row>
    <row r="15" spans="1:14" x14ac:dyDescent="0.3">
      <c r="A15" s="3"/>
      <c r="C15" s="4" t="str">
        <f>IFERROR((VLOOKUP(A15,'Food Database'!$A$2:$E$105,2,FALSE) * B15) / 100, "")</f>
        <v/>
      </c>
      <c r="D15" s="4" t="str">
        <f>IFERROR((VLOOKUP(A15,'Food Database'!$A$2:$E$105,3,FALSE) * B15) / 100, "")</f>
        <v/>
      </c>
      <c r="E15" s="4" t="str">
        <f>IFERROR((VLOOKUP(A15,'Food Database'!$A$2:$E$105,4,FALSE) * B15) / 100, "")</f>
        <v/>
      </c>
      <c r="F15" s="4" t="str">
        <f>IFERROR((VLOOKUP(A15,'Food Database'!$A$2:$E$105,5,FALSE) * B15) / 100, "")</f>
        <v/>
      </c>
    </row>
    <row r="16" spans="1:14" x14ac:dyDescent="0.3">
      <c r="A16" s="3"/>
      <c r="C16" s="4" t="str">
        <f>IFERROR((VLOOKUP(A16,'Food Database'!$A$2:$E$105,2,FALSE) * B16) / 100, "")</f>
        <v/>
      </c>
      <c r="D16" s="4" t="str">
        <f>IFERROR((VLOOKUP(A16,'Food Database'!$A$2:$E$105,3,FALSE) * B16) / 100, "")</f>
        <v/>
      </c>
      <c r="E16" s="4" t="str">
        <f>IFERROR((VLOOKUP(A16,'Food Database'!$A$2:$E$105,4,FALSE) * B16) / 100, "")</f>
        <v/>
      </c>
      <c r="F16" s="4" t="str">
        <f>IFERROR((VLOOKUP(A16,'Food Database'!$A$2:$E$105,5,FALSE) * B16) / 100, "")</f>
        <v/>
      </c>
    </row>
    <row r="17" spans="1:6" x14ac:dyDescent="0.3">
      <c r="A17" s="3"/>
      <c r="C17" s="4" t="str">
        <f>IFERROR((VLOOKUP(A17,'Food Database'!$A$2:$E$105,2,FALSE) * B17) / 100, "")</f>
        <v/>
      </c>
      <c r="D17" s="4" t="str">
        <f>IFERROR((VLOOKUP(A17,'Food Database'!$A$2:$E$105,3,FALSE) * B17) / 100, "")</f>
        <v/>
      </c>
      <c r="E17" s="4" t="str">
        <f>IFERROR((VLOOKUP(A17,'Food Database'!$A$2:$E$105,4,FALSE) * B17) / 100, "")</f>
        <v/>
      </c>
      <c r="F17" s="4" t="str">
        <f>IFERROR((VLOOKUP(A17,'Food Database'!$A$2:$E$105,5,FALSE) * B17) / 100, "")</f>
        <v/>
      </c>
    </row>
    <row r="18" spans="1:6" x14ac:dyDescent="0.3">
      <c r="A18" s="3"/>
      <c r="C18" s="4" t="str">
        <f>IFERROR((VLOOKUP(A18,'Food Database'!$A$2:$E$105,2,FALSE) * B18) / 100, "")</f>
        <v/>
      </c>
      <c r="D18" s="4" t="str">
        <f>IFERROR((VLOOKUP(A18,'Food Database'!$A$2:$E$105,3,FALSE) * B18) / 100, "")</f>
        <v/>
      </c>
      <c r="E18" s="4" t="str">
        <f>IFERROR((VLOOKUP(A18,'Food Database'!$A$2:$E$105,4,FALSE) * B18) / 100, "")</f>
        <v/>
      </c>
      <c r="F18" s="4" t="str">
        <f>IFERROR((VLOOKUP(A18,'Food Database'!$A$2:$E$105,5,FALSE) * B18) / 100, "")</f>
        <v/>
      </c>
    </row>
    <row r="19" spans="1:6" x14ac:dyDescent="0.3">
      <c r="A19" s="3"/>
      <c r="C19" s="4" t="str">
        <f>IFERROR((VLOOKUP(A19,'Food Database'!$A$2:$E$105,2,FALSE) * B19) / 100, "")</f>
        <v/>
      </c>
      <c r="D19" s="4" t="str">
        <f>IFERROR((VLOOKUP(A19,'Food Database'!$A$2:$E$105,3,FALSE) * B19) / 100, "")</f>
        <v/>
      </c>
      <c r="E19" s="4" t="str">
        <f>IFERROR((VLOOKUP(A19,'Food Database'!$A$2:$E$105,4,FALSE) * B19) / 100, "")</f>
        <v/>
      </c>
      <c r="F19" s="4" t="str">
        <f>IFERROR((VLOOKUP(A19,'Food Database'!$A$2:$E$105,5,FALSE) * B19) / 100, "")</f>
        <v/>
      </c>
    </row>
    <row r="20" spans="1:6" x14ac:dyDescent="0.3">
      <c r="A20" s="3"/>
      <c r="C20" s="4" t="str">
        <f>IFERROR((VLOOKUP(A20,'Food Database'!$A$2:$E$105,2,FALSE) * B20) / 100, "")</f>
        <v/>
      </c>
      <c r="D20" s="4" t="str">
        <f>IFERROR((VLOOKUP(A20,'Food Database'!$A$2:$E$105,3,FALSE) * B20) / 100, "")</f>
        <v/>
      </c>
      <c r="E20" s="4" t="str">
        <f>IFERROR((VLOOKUP(A20,'Food Database'!$A$2:$E$105,4,FALSE) * B20) / 100, "")</f>
        <v/>
      </c>
      <c r="F20" s="4" t="str">
        <f>IFERROR((VLOOKUP(A20,'Food Database'!$A$2:$E$105,5,FALSE) * B20) / 100, "")</f>
        <v/>
      </c>
    </row>
    <row r="21" spans="1:6" x14ac:dyDescent="0.3">
      <c r="A21" s="3"/>
      <c r="C21" s="4" t="str">
        <f>IFERROR((VLOOKUP(A21,'Food Database'!$A$2:$E$105,2,FALSE) * B21) / 100, "")</f>
        <v/>
      </c>
      <c r="D21" s="4" t="str">
        <f>IFERROR((VLOOKUP(A21,'Food Database'!$A$2:$E$105,3,FALSE) * B21) / 100, "")</f>
        <v/>
      </c>
      <c r="E21" s="4" t="str">
        <f>IFERROR((VLOOKUP(A21,'Food Database'!$A$2:$E$105,4,FALSE) * B21) / 100, "")</f>
        <v/>
      </c>
      <c r="F21" s="4" t="str">
        <f>IFERROR((VLOOKUP(A21,'Food Database'!$A$2:$E$105,5,FALSE) * B21) / 100, "")</f>
        <v/>
      </c>
    </row>
    <row r="22" spans="1:6" x14ac:dyDescent="0.3">
      <c r="A22" s="3"/>
      <c r="C22" s="4" t="str">
        <f>IFERROR((VLOOKUP(A22,'Food Database'!$A$2:$E$105,2,FALSE) * B22) / 100, "")</f>
        <v/>
      </c>
      <c r="D22" s="4" t="str">
        <f>IFERROR((VLOOKUP(A22,'Food Database'!$A$2:$E$105,3,FALSE) * B22) / 100, "")</f>
        <v/>
      </c>
      <c r="E22" s="4" t="str">
        <f>IFERROR((VLOOKUP(A22,'Food Database'!$A$2:$E$105,4,FALSE) * B22) / 100, "")</f>
        <v/>
      </c>
      <c r="F22" s="4" t="str">
        <f>IFERROR((VLOOKUP(A22,'Food Database'!$A$2:$E$105,5,FALSE) * B22) / 100, "")</f>
        <v/>
      </c>
    </row>
    <row r="23" spans="1:6" x14ac:dyDescent="0.3">
      <c r="A23" s="3"/>
      <c r="C23" s="4" t="str">
        <f>IFERROR((VLOOKUP(A23,'Food Database'!$A$2:$E$105,2,FALSE) * B23) / 100, "")</f>
        <v/>
      </c>
      <c r="D23" s="4" t="str">
        <f>IFERROR((VLOOKUP(A23,'Food Database'!$A$2:$E$105,3,FALSE) * B23) / 100, "")</f>
        <v/>
      </c>
      <c r="E23" s="4" t="str">
        <f>IFERROR((VLOOKUP(A23,'Food Database'!$A$2:$E$105,4,FALSE) * B23) / 100, "")</f>
        <v/>
      </c>
      <c r="F23" s="4" t="str">
        <f>IFERROR((VLOOKUP(A23,'Food Database'!$A$2:$E$105,5,FALSE) * B23) / 100, "")</f>
        <v/>
      </c>
    </row>
    <row r="24" spans="1:6" x14ac:dyDescent="0.3">
      <c r="A24" s="3"/>
      <c r="C24" s="4" t="str">
        <f>IFERROR((VLOOKUP(A24,'Food Database'!$A$2:$E$105,2,FALSE) * B24) / 100, "")</f>
        <v/>
      </c>
      <c r="D24" s="4" t="str">
        <f>IFERROR((VLOOKUP(A24,'Food Database'!$A$2:$E$105,3,FALSE) * B24) / 100, "")</f>
        <v/>
      </c>
      <c r="E24" s="4" t="str">
        <f>IFERROR((VLOOKUP(A24,'Food Database'!$A$2:$E$105,4,FALSE) * B24) / 100, "")</f>
        <v/>
      </c>
      <c r="F24" s="4" t="str">
        <f>IFERROR((VLOOKUP(A24,'Food Database'!$A$2:$E$105,5,FALSE) * B24) / 100, "")</f>
        <v/>
      </c>
    </row>
    <row r="25" spans="1:6" x14ac:dyDescent="0.3">
      <c r="A25" s="3"/>
      <c r="C25" s="4" t="str">
        <f>IFERROR((VLOOKUP(A25,'Food Database'!$A$2:$E$105,2,FALSE) * B25) / 100, "")</f>
        <v/>
      </c>
      <c r="D25" s="4" t="str">
        <f>IFERROR((VLOOKUP(A25,'Food Database'!$A$2:$E$105,3,FALSE) * B25) / 100, "")</f>
        <v/>
      </c>
      <c r="E25" s="4" t="str">
        <f>IFERROR((VLOOKUP(A25,'Food Database'!$A$2:$E$105,4,FALSE) * B25) / 100, "")</f>
        <v/>
      </c>
      <c r="F25" s="4" t="str">
        <f>IFERROR((VLOOKUP(A25,'Food Database'!$A$2:$E$105,5,FALSE) * B25) / 100, "")</f>
        <v/>
      </c>
    </row>
    <row r="26" spans="1:6" x14ac:dyDescent="0.3">
      <c r="A26" s="3"/>
      <c r="C26" s="4" t="str">
        <f>IFERROR((VLOOKUP(A26,'Food Database'!$A$2:$E$105,2,FALSE) * B26) / 100, "")</f>
        <v/>
      </c>
      <c r="D26" s="4" t="str">
        <f>IFERROR((VLOOKUP(A26,'Food Database'!$A$2:$E$105,3,FALSE) * B26) / 100, "")</f>
        <v/>
      </c>
      <c r="E26" s="4" t="str">
        <f>IFERROR((VLOOKUP(A26,'Food Database'!$A$2:$E$105,4,FALSE) * B26) / 100, "")</f>
        <v/>
      </c>
      <c r="F26" s="4" t="str">
        <f>IFERROR((VLOOKUP(A26,'Food Database'!$A$2:$E$105,5,FALSE) * B26) / 100, "")</f>
        <v/>
      </c>
    </row>
    <row r="27" spans="1:6" x14ac:dyDescent="0.3">
      <c r="A27" s="3"/>
      <c r="C27" s="4" t="str">
        <f>IFERROR((VLOOKUP(A27,'Food Database'!$A$2:$E$105,2,FALSE) * B27) / 100, "")</f>
        <v/>
      </c>
      <c r="D27" s="4" t="str">
        <f>IFERROR((VLOOKUP(A27,'Food Database'!$A$2:$E$105,3,FALSE) * B27) / 100, "")</f>
        <v/>
      </c>
      <c r="E27" s="4" t="str">
        <f>IFERROR((VLOOKUP(A27,'Food Database'!$A$2:$E$105,4,FALSE) * B27) / 100, "")</f>
        <v/>
      </c>
      <c r="F27" s="4" t="str">
        <f>IFERROR((VLOOKUP(A27,'Food Database'!$A$2:$E$105,5,FALSE) * B27) / 100, "")</f>
        <v/>
      </c>
    </row>
    <row r="28" spans="1:6" x14ac:dyDescent="0.3">
      <c r="A28" s="3"/>
      <c r="C28" s="4" t="str">
        <f>IFERROR((VLOOKUP(A28,'Food Database'!$A$2:$E$105,2,FALSE) * B28) / 100, "")</f>
        <v/>
      </c>
      <c r="D28" s="4" t="str">
        <f>IFERROR((VLOOKUP(A28,'Food Database'!$A$2:$E$105,3,FALSE) * B28) / 100, "")</f>
        <v/>
      </c>
      <c r="E28" s="4" t="str">
        <f>IFERROR((VLOOKUP(A28,'Food Database'!$A$2:$E$105,4,FALSE) * B28) / 100, "")</f>
        <v/>
      </c>
      <c r="F28" s="4" t="str">
        <f>IFERROR((VLOOKUP(A28,'Food Database'!$A$2:$E$105,5,FALSE) * B28) / 100, "")</f>
        <v/>
      </c>
    </row>
    <row r="29" spans="1:6" x14ac:dyDescent="0.3">
      <c r="A29" s="3"/>
      <c r="C29" s="4" t="str">
        <f>IFERROR((VLOOKUP(A29,'Food Database'!$A$2:$E$105,2,FALSE) * B29) / 100, "")</f>
        <v/>
      </c>
      <c r="D29" s="4" t="str">
        <f>IFERROR((VLOOKUP(A29,'Food Database'!$A$2:$E$105,3,FALSE) * B29) / 100, "")</f>
        <v/>
      </c>
      <c r="E29" s="4" t="str">
        <f>IFERROR((VLOOKUP(A29,'Food Database'!$A$2:$E$105,4,FALSE) * B29) / 100, "")</f>
        <v/>
      </c>
      <c r="F29" s="4" t="str">
        <f>IFERROR((VLOOKUP(A29,'Food Database'!$A$2:$E$105,5,FALSE) * B29) / 100, "")</f>
        <v/>
      </c>
    </row>
    <row r="30" spans="1:6" x14ac:dyDescent="0.3">
      <c r="A30" s="3"/>
      <c r="C30" s="4" t="str">
        <f>IFERROR((VLOOKUP(A30,'Food Database'!$A$2:$E$105,2,FALSE) * B30) / 100, "")</f>
        <v/>
      </c>
      <c r="D30" s="4" t="str">
        <f>IFERROR((VLOOKUP(A30,'Food Database'!$A$2:$E$105,3,FALSE) * B30) / 100, "")</f>
        <v/>
      </c>
      <c r="E30" s="4" t="str">
        <f>IFERROR((VLOOKUP(A30,'Food Database'!$A$2:$E$105,4,FALSE) * B30) / 100, "")</f>
        <v/>
      </c>
      <c r="F30" s="4" t="str">
        <f>IFERROR((VLOOKUP(A30,'Food Database'!$A$2:$E$105,5,FALSE) * B30) / 100, "")</f>
        <v/>
      </c>
    </row>
    <row r="31" spans="1:6" x14ac:dyDescent="0.3">
      <c r="A31" s="3"/>
      <c r="C31" s="4" t="str">
        <f>IFERROR((VLOOKUP(A31,'Food Database'!$A$2:$E$105,2,FALSE) * B31) / 100, "")</f>
        <v/>
      </c>
      <c r="D31" s="4" t="str">
        <f>IFERROR((VLOOKUP(A31,'Food Database'!$A$2:$E$105,3,FALSE) * B31) / 100, "")</f>
        <v/>
      </c>
      <c r="E31" s="4" t="str">
        <f>IFERROR((VLOOKUP(A31,'Food Database'!$A$2:$E$105,4,FALSE) * B31) / 100, "")</f>
        <v/>
      </c>
      <c r="F31" s="4" t="str">
        <f>IFERROR((VLOOKUP(A31,'Food Database'!$A$2:$E$105,5,FALSE) * B31) / 100, "")</f>
        <v/>
      </c>
    </row>
    <row r="32" spans="1:6" x14ac:dyDescent="0.3">
      <c r="A32" s="3"/>
      <c r="C32" s="4" t="str">
        <f>IFERROR((VLOOKUP(A32,'Food Database'!$A$2:$E$105,2,FALSE) * B32) / 100, "")</f>
        <v/>
      </c>
      <c r="D32" s="4" t="str">
        <f>IFERROR((VLOOKUP(A32,'Food Database'!$A$2:$E$105,3,FALSE) * B32) / 100, "")</f>
        <v/>
      </c>
      <c r="E32" s="4" t="str">
        <f>IFERROR((VLOOKUP(A32,'Food Database'!$A$2:$E$105,4,FALSE) * B32) / 100, "")</f>
        <v/>
      </c>
      <c r="F32" s="4" t="str">
        <f>IFERROR((VLOOKUP(A32,'Food Database'!$A$2:$E$105,5,FALSE) * B32) / 100, "")</f>
        <v/>
      </c>
    </row>
    <row r="33" spans="1:6" x14ac:dyDescent="0.3">
      <c r="A33" s="3"/>
      <c r="C33" s="4" t="str">
        <f>IFERROR((VLOOKUP(A33,'Food Database'!$A$2:$E$105,2,FALSE) * B33) / 100, "")</f>
        <v/>
      </c>
      <c r="D33" s="4" t="str">
        <f>IFERROR((VLOOKUP(A33,'Food Database'!$A$2:$E$105,3,FALSE) * B33) / 100, "")</f>
        <v/>
      </c>
      <c r="E33" s="4" t="str">
        <f>IFERROR((VLOOKUP(A33,'Food Database'!$A$2:$E$105,4,FALSE) * B33) / 100, "")</f>
        <v/>
      </c>
      <c r="F33" s="4" t="str">
        <f>IFERROR((VLOOKUP(A33,'Food Database'!$A$2:$E$105,5,FALSE) * B33) / 100, "")</f>
        <v/>
      </c>
    </row>
    <row r="34" spans="1:6" x14ac:dyDescent="0.3">
      <c r="A34" s="3"/>
      <c r="C34" s="4" t="str">
        <f>IFERROR((VLOOKUP(A34,'Food Database'!$A$2:$E$105,2,FALSE) * B34) / 100, "")</f>
        <v/>
      </c>
      <c r="D34" s="4" t="str">
        <f>IFERROR((VLOOKUP(A34,'Food Database'!$A$2:$E$105,3,FALSE) * B34) / 100, "")</f>
        <v/>
      </c>
      <c r="E34" s="4" t="str">
        <f>IFERROR((VLOOKUP(A34,'Food Database'!$A$2:$E$105,4,FALSE) * B34) / 100, "")</f>
        <v/>
      </c>
      <c r="F34" s="4" t="str">
        <f>IFERROR((VLOOKUP(A34,'Food Database'!$A$2:$E$105,5,FALSE) * B34) / 100, "")</f>
        <v/>
      </c>
    </row>
    <row r="35" spans="1:6" x14ac:dyDescent="0.3">
      <c r="A35" s="3"/>
      <c r="C35" s="4" t="str">
        <f>IFERROR((VLOOKUP(A35,'Food Database'!$A$2:$E$105,2,FALSE) * B35) / 100, "")</f>
        <v/>
      </c>
      <c r="D35" s="4" t="str">
        <f>IFERROR((VLOOKUP(A35,'Food Database'!$A$2:$E$105,3,FALSE) * B35) / 100, "")</f>
        <v/>
      </c>
      <c r="E35" s="4" t="str">
        <f>IFERROR((VLOOKUP(A35,'Food Database'!$A$2:$E$105,4,FALSE) * B35) / 100, "")</f>
        <v/>
      </c>
      <c r="F35" s="4" t="str">
        <f>IFERROR((VLOOKUP(A35,'Food Database'!$A$2:$E$105,5,FALSE) * B35) / 100, "")</f>
        <v/>
      </c>
    </row>
    <row r="36" spans="1:6" x14ac:dyDescent="0.3">
      <c r="A36" s="3"/>
      <c r="C36" s="4" t="str">
        <f>IFERROR((VLOOKUP(A36,'Food Database'!$A$2:$E$105,2,FALSE) * B36) / 100, "")</f>
        <v/>
      </c>
      <c r="D36" s="4" t="str">
        <f>IFERROR((VLOOKUP(A36,'Food Database'!$A$2:$E$105,3,FALSE) * B36) / 100, "")</f>
        <v/>
      </c>
      <c r="E36" s="4" t="str">
        <f>IFERROR((VLOOKUP(A36,'Food Database'!$A$2:$E$105,4,FALSE) * B36) / 100, "")</f>
        <v/>
      </c>
      <c r="F36" s="4" t="str">
        <f>IFERROR((VLOOKUP(A36,'Food Database'!$A$2:$E$105,5,FALSE) * B36) / 100, "")</f>
        <v/>
      </c>
    </row>
    <row r="37" spans="1:6" x14ac:dyDescent="0.3">
      <c r="A37" s="3"/>
      <c r="C37" s="4" t="str">
        <f>IFERROR((VLOOKUP(A37,'Food Database'!$A$2:$E$105,2,FALSE) * B37) / 100, "")</f>
        <v/>
      </c>
      <c r="D37" s="4" t="str">
        <f>IFERROR((VLOOKUP(A37,'Food Database'!$A$2:$E$105,3,FALSE) * B37) / 100, "")</f>
        <v/>
      </c>
      <c r="E37" s="4" t="str">
        <f>IFERROR((VLOOKUP(A37,'Food Database'!$A$2:$E$105,4,FALSE) * B37) / 100, "")</f>
        <v/>
      </c>
      <c r="F37" s="4" t="str">
        <f>IFERROR((VLOOKUP(A37,'Food Database'!$A$2:$E$105,5,FALSE) * B37) / 100, "")</f>
        <v/>
      </c>
    </row>
    <row r="38" spans="1:6" x14ac:dyDescent="0.3">
      <c r="A38" s="3"/>
      <c r="C38" s="4" t="str">
        <f>IFERROR((VLOOKUP(A38,'Food Database'!$A$2:$E$105,2,FALSE) * B38) / 100, "")</f>
        <v/>
      </c>
      <c r="D38" s="4" t="str">
        <f>IFERROR((VLOOKUP(A38,'Food Database'!$A$2:$E$105,3,FALSE) * B38) / 100, "")</f>
        <v/>
      </c>
      <c r="E38" s="4" t="str">
        <f>IFERROR((VLOOKUP(A38,'Food Database'!$A$2:$E$105,4,FALSE) * B38) / 100, "")</f>
        <v/>
      </c>
      <c r="F38" s="4" t="str">
        <f>IFERROR((VLOOKUP(A38,'Food Database'!$A$2:$E$105,5,FALSE) * B38) / 100, "")</f>
        <v/>
      </c>
    </row>
    <row r="39" spans="1:6" x14ac:dyDescent="0.3">
      <c r="A39" s="3"/>
      <c r="C39" s="4" t="str">
        <f>IFERROR((VLOOKUP(A39,'Food Database'!$A$2:$E$105,2,FALSE) * B39) / 100, "")</f>
        <v/>
      </c>
      <c r="D39" s="4" t="str">
        <f>IFERROR((VLOOKUP(A39,'Food Database'!$A$2:$E$105,3,FALSE) * B39) / 100, "")</f>
        <v/>
      </c>
      <c r="E39" s="4" t="str">
        <f>IFERROR((VLOOKUP(A39,'Food Database'!$A$2:$E$105,4,FALSE) * B39) / 100, "")</f>
        <v/>
      </c>
      <c r="F39" s="4" t="str">
        <f>IFERROR((VLOOKUP(A39,'Food Database'!$A$2:$E$105,5,FALSE) * B39) / 100, "")</f>
        <v/>
      </c>
    </row>
    <row r="40" spans="1:6" x14ac:dyDescent="0.3">
      <c r="A40" s="3"/>
      <c r="C40" s="4" t="str">
        <f>IFERROR((VLOOKUP(A40,'Food Database'!$A$2:$E$105,2,FALSE) * B40) / 100, "")</f>
        <v/>
      </c>
      <c r="D40" s="4" t="str">
        <f>IFERROR((VLOOKUP(A40,'Food Database'!$A$2:$E$105,3,FALSE) * B40) / 100, "")</f>
        <v/>
      </c>
      <c r="E40" s="4" t="str">
        <f>IFERROR((VLOOKUP(A40,'Food Database'!$A$2:$E$105,4,FALSE) * B40) / 100, "")</f>
        <v/>
      </c>
      <c r="F40" s="4" t="str">
        <f>IFERROR((VLOOKUP(A40,'Food Database'!$A$2:$E$105,5,FALSE) * B40) / 100, "")</f>
        <v/>
      </c>
    </row>
    <row r="41" spans="1:6" x14ac:dyDescent="0.3">
      <c r="A41" s="3"/>
      <c r="C41" s="4" t="str">
        <f>IFERROR((VLOOKUP(A41,'Food Database'!$A$2:$E$105,2,FALSE) * B41) / 100, "")</f>
        <v/>
      </c>
      <c r="D41" s="4" t="str">
        <f>IFERROR((VLOOKUP(A41,'Food Database'!$A$2:$E$105,3,FALSE) * B41) / 100, "")</f>
        <v/>
      </c>
      <c r="E41" s="4" t="str">
        <f>IFERROR((VLOOKUP(A41,'Food Database'!$A$2:$E$105,4,FALSE) * B41) / 100, "")</f>
        <v/>
      </c>
      <c r="F41" s="4" t="str">
        <f>IFERROR((VLOOKUP(A41,'Food Database'!$A$2:$E$105,5,FALSE) * B41) / 100, "")</f>
        <v/>
      </c>
    </row>
    <row r="42" spans="1:6" x14ac:dyDescent="0.3">
      <c r="A42" s="3"/>
      <c r="C42" s="4" t="str">
        <f>IFERROR((VLOOKUP(A42,'Food Database'!$A$2:$E$105,2,FALSE) * B42) / 100, "")</f>
        <v/>
      </c>
      <c r="D42" s="4" t="str">
        <f>IFERROR((VLOOKUP(A42,'Food Database'!$A$2:$E$105,3,FALSE) * B42) / 100, "")</f>
        <v/>
      </c>
      <c r="E42" s="4" t="str">
        <f>IFERROR((VLOOKUP(A42,'Food Database'!$A$2:$E$105,4,FALSE) * B42) / 100, "")</f>
        <v/>
      </c>
      <c r="F42" s="4" t="str">
        <f>IFERROR((VLOOKUP(A42,'Food Database'!$A$2:$E$105,5,FALSE) * B42) / 100, "")</f>
        <v/>
      </c>
    </row>
    <row r="43" spans="1:6" x14ac:dyDescent="0.3">
      <c r="A43" s="3"/>
      <c r="C43" s="4" t="str">
        <f>IFERROR((VLOOKUP(A43,'Food Database'!$A$2:$E$105,2,FALSE) * B43) / 100, "")</f>
        <v/>
      </c>
      <c r="D43" s="4" t="str">
        <f>IFERROR((VLOOKUP(A43,'Food Database'!$A$2:$E$105,3,FALSE) * B43) / 100, "")</f>
        <v/>
      </c>
      <c r="E43" s="4" t="str">
        <f>IFERROR((VLOOKUP(A43,'Food Database'!$A$2:$E$105,4,FALSE) * B43) / 100, "")</f>
        <v/>
      </c>
      <c r="F43" s="4" t="str">
        <f>IFERROR((VLOOKUP(A43,'Food Database'!$A$2:$E$105,5,FALSE) * B43) / 100, "")</f>
        <v/>
      </c>
    </row>
    <row r="44" spans="1:6" x14ac:dyDescent="0.3">
      <c r="A44" s="3"/>
      <c r="C44" s="4" t="str">
        <f>IFERROR((VLOOKUP(A44,'Food Database'!$A$2:$E$105,2,FALSE) * B44) / 100, "")</f>
        <v/>
      </c>
      <c r="D44" s="4" t="str">
        <f>IFERROR((VLOOKUP(A44,'Food Database'!$A$2:$E$105,3,FALSE) * B44) / 100, "")</f>
        <v/>
      </c>
      <c r="E44" s="4" t="str">
        <f>IFERROR((VLOOKUP(A44,'Food Database'!$A$2:$E$105,4,FALSE) * B44) / 100, "")</f>
        <v/>
      </c>
      <c r="F44" s="4" t="str">
        <f>IFERROR((VLOOKUP(A44,'Food Database'!$A$2:$E$105,5,FALSE) * B44) / 100, "")</f>
        <v/>
      </c>
    </row>
    <row r="45" spans="1:6" x14ac:dyDescent="0.3">
      <c r="A45" s="3"/>
      <c r="C45" s="4" t="str">
        <f>IFERROR((VLOOKUP(A45,'Food Database'!$A$2:$E$105,2,FALSE) * B45) / 100, "")</f>
        <v/>
      </c>
      <c r="D45" s="4" t="str">
        <f>IFERROR((VLOOKUP(A45,'Food Database'!$A$2:$E$105,3,FALSE) * B45) / 100, "")</f>
        <v/>
      </c>
      <c r="E45" s="4" t="str">
        <f>IFERROR((VLOOKUP(A45,'Food Database'!$A$2:$E$105,4,FALSE) * B45) / 100, "")</f>
        <v/>
      </c>
      <c r="F45" s="4" t="str">
        <f>IFERROR((VLOOKUP(A45,'Food Database'!$A$2:$E$105,5,FALSE) * B45) / 100, "")</f>
        <v/>
      </c>
    </row>
    <row r="46" spans="1:6" x14ac:dyDescent="0.3">
      <c r="A46" s="3"/>
      <c r="C46" s="4" t="str">
        <f>IFERROR((VLOOKUP(A46,'Food Database'!$A$2:$E$105,2,FALSE) * B46) / 100, "")</f>
        <v/>
      </c>
      <c r="D46" s="4" t="str">
        <f>IFERROR((VLOOKUP(A46,'Food Database'!$A$2:$E$105,3,FALSE) * B46) / 100, "")</f>
        <v/>
      </c>
      <c r="E46" s="4" t="str">
        <f>IFERROR((VLOOKUP(A46,'Food Database'!$A$2:$E$105,4,FALSE) * B46) / 100, "")</f>
        <v/>
      </c>
      <c r="F46" s="4" t="str">
        <f>IFERROR((VLOOKUP(A46,'Food Database'!$A$2:$E$105,5,FALSE) * B46) / 100, "")</f>
        <v/>
      </c>
    </row>
    <row r="47" spans="1:6" x14ac:dyDescent="0.3">
      <c r="A47" s="3"/>
      <c r="C47" s="4" t="str">
        <f>IFERROR((VLOOKUP(A47,'Food Database'!$A$2:$E$105,2,FALSE) * B47) / 100, "")</f>
        <v/>
      </c>
      <c r="D47" s="4" t="str">
        <f>IFERROR((VLOOKUP(A47,'Food Database'!$A$2:$E$105,3,FALSE) * B47) / 100, "")</f>
        <v/>
      </c>
      <c r="E47" s="4" t="str">
        <f>IFERROR((VLOOKUP(A47,'Food Database'!$A$2:$E$105,4,FALSE) * B47) / 100, "")</f>
        <v/>
      </c>
      <c r="F47" s="4" t="str">
        <f>IFERROR((VLOOKUP(A47,'Food Database'!$A$2:$E$105,5,FALSE) * B47) / 100, "")</f>
        <v/>
      </c>
    </row>
    <row r="48" spans="1:6" x14ac:dyDescent="0.3">
      <c r="A48" s="3"/>
      <c r="C48" s="4" t="str">
        <f>IFERROR((VLOOKUP(A48,'Food Database'!$A$2:$E$105,2,FALSE) * B48) / 100, "")</f>
        <v/>
      </c>
      <c r="D48" s="4" t="str">
        <f>IFERROR((VLOOKUP(A48,'Food Database'!$A$2:$E$105,3,FALSE) * B48) / 100, "")</f>
        <v/>
      </c>
      <c r="E48" s="4" t="str">
        <f>IFERROR((VLOOKUP(A48,'Food Database'!$A$2:$E$105,4,FALSE) * B48) / 100, "")</f>
        <v/>
      </c>
      <c r="F48" s="4" t="str">
        <f>IFERROR((VLOOKUP(A48,'Food Database'!$A$2:$E$105,5,FALSE) * B48) / 100, "")</f>
        <v/>
      </c>
    </row>
    <row r="49" spans="1:6" x14ac:dyDescent="0.3">
      <c r="A49" s="3"/>
      <c r="C49" s="4" t="str">
        <f>IFERROR((VLOOKUP(A49,'Food Database'!$A$2:$E$105,2,FALSE) * B49) / 100, "")</f>
        <v/>
      </c>
      <c r="D49" s="4" t="str">
        <f>IFERROR((VLOOKUP(A49,'Food Database'!$A$2:$E$105,3,FALSE) * B49) / 100, "")</f>
        <v/>
      </c>
      <c r="E49" s="4" t="str">
        <f>IFERROR((VLOOKUP(A49,'Food Database'!$A$2:$E$105,4,FALSE) * B49) / 100, "")</f>
        <v/>
      </c>
      <c r="F49" s="4" t="str">
        <f>IFERROR((VLOOKUP(A49,'Food Database'!$A$2:$E$105,5,FALSE) * B49) / 100, "")</f>
        <v/>
      </c>
    </row>
    <row r="50" spans="1:6" x14ac:dyDescent="0.3">
      <c r="A50" s="3"/>
      <c r="C50" s="4" t="str">
        <f>IFERROR((VLOOKUP(A50,'Food Database'!$A$2:$E$105,2,FALSE) * B50) / 100, "")</f>
        <v/>
      </c>
      <c r="D50" s="4" t="str">
        <f>IFERROR((VLOOKUP(A50,'Food Database'!$A$2:$E$105,3,FALSE) * B50) / 100, "")</f>
        <v/>
      </c>
      <c r="E50" s="4" t="str">
        <f>IFERROR((VLOOKUP(A50,'Food Database'!$A$2:$E$105,4,FALSE) * B50) / 100, "")</f>
        <v/>
      </c>
      <c r="F50" s="4" t="str">
        <f>IFERROR((VLOOKUP(A50,'Food Database'!$A$2:$E$105,5,FALSE) * B50) / 100, "")</f>
        <v/>
      </c>
    </row>
    <row r="51" spans="1:6" x14ac:dyDescent="0.3">
      <c r="A51" s="3"/>
      <c r="C51" s="4" t="str">
        <f>IFERROR((VLOOKUP(A51,'Food Database'!$A$2:$E$105,2,FALSE) * B51) / 100, "")</f>
        <v/>
      </c>
      <c r="D51" s="4" t="str">
        <f>IFERROR((VLOOKUP(A51,'Food Database'!$A$2:$E$105,3,FALSE) * B51) / 100, "")</f>
        <v/>
      </c>
      <c r="E51" s="4" t="str">
        <f>IFERROR((VLOOKUP(A51,'Food Database'!$A$2:$E$105,4,FALSE) * B51) / 100, "")</f>
        <v/>
      </c>
      <c r="F51" s="4" t="str">
        <f>IFERROR((VLOOKUP(A51,'Food Database'!$A$2:$E$105,5,FALSE) * B51) / 100, "")</f>
        <v/>
      </c>
    </row>
    <row r="52" spans="1:6" x14ac:dyDescent="0.3">
      <c r="A52" s="3"/>
      <c r="C52" s="4" t="str">
        <f>IFERROR((VLOOKUP(A52,'Food Database'!$A$2:$E$105,2,FALSE) * B52) / 100, "")</f>
        <v/>
      </c>
      <c r="D52" s="4" t="str">
        <f>IFERROR((VLOOKUP(A52,'Food Database'!$A$2:$E$105,3,FALSE) * B52) / 100, "")</f>
        <v/>
      </c>
      <c r="E52" s="4" t="str">
        <f>IFERROR((VLOOKUP(A52,'Food Database'!$A$2:$E$105,4,FALSE) * B52) / 100, "")</f>
        <v/>
      </c>
      <c r="F52" s="4" t="str">
        <f>IFERROR((VLOOKUP(A52,'Food Database'!$A$2:$E$105,5,FALSE) * B52) / 100, "")</f>
        <v/>
      </c>
    </row>
    <row r="53" spans="1:6" x14ac:dyDescent="0.3">
      <c r="A53" s="3"/>
      <c r="C53" s="4" t="str">
        <f>IFERROR((VLOOKUP(A53,'Food Database'!$A$2:$E$105,2,FALSE) * B53) / 100, "")</f>
        <v/>
      </c>
      <c r="D53" s="4" t="str">
        <f>IFERROR((VLOOKUP(A53,'Food Database'!$A$2:$E$105,3,FALSE) * B53) / 100, "")</f>
        <v/>
      </c>
      <c r="E53" s="4" t="str">
        <f>IFERROR((VLOOKUP(A53,'Food Database'!$A$2:$E$105,4,FALSE) * B53) / 100, "")</f>
        <v/>
      </c>
      <c r="F53" s="4" t="str">
        <f>IFERROR((VLOOKUP(A53,'Food Database'!$A$2:$E$105,5,FALSE) * B53) / 100, "")</f>
        <v/>
      </c>
    </row>
    <row r="54" spans="1:6" x14ac:dyDescent="0.3">
      <c r="A54" s="3"/>
      <c r="C54" s="4" t="str">
        <f>IFERROR((VLOOKUP(A54,'Food Database'!$A$2:$E$105,2,FALSE) * B54) / 100, "")</f>
        <v/>
      </c>
      <c r="D54" s="4" t="str">
        <f>IFERROR((VLOOKUP(A54,'Food Database'!$A$2:$E$105,3,FALSE) * B54) / 100, "")</f>
        <v/>
      </c>
      <c r="E54" s="4" t="str">
        <f>IFERROR((VLOOKUP(A54,'Food Database'!$A$2:$E$105,4,FALSE) * B54) / 100, "")</f>
        <v/>
      </c>
      <c r="F54" s="4" t="str">
        <f>IFERROR((VLOOKUP(A54,'Food Database'!$A$2:$E$105,5,FALSE) * B54) / 100, "")</f>
        <v/>
      </c>
    </row>
    <row r="55" spans="1:6" x14ac:dyDescent="0.3">
      <c r="A55" s="3"/>
      <c r="C55" s="4" t="str">
        <f>IFERROR((VLOOKUP(A55,'Food Database'!$A$2:$E$105,2,FALSE) * B55) / 100, "")</f>
        <v/>
      </c>
      <c r="D55" s="4" t="str">
        <f>IFERROR((VLOOKUP(A55,'Food Database'!$A$2:$E$105,3,FALSE) * B55) / 100, "")</f>
        <v/>
      </c>
      <c r="E55" s="4" t="str">
        <f>IFERROR((VLOOKUP(A55,'Food Database'!$A$2:$E$105,4,FALSE) * B55) / 100, "")</f>
        <v/>
      </c>
      <c r="F55" s="4" t="str">
        <f>IFERROR((VLOOKUP(A55,'Food Database'!$A$2:$E$105,5,FALSE) * B55) / 100, "")</f>
        <v/>
      </c>
    </row>
    <row r="56" spans="1:6" x14ac:dyDescent="0.3">
      <c r="A56" s="3"/>
      <c r="C56" s="4" t="str">
        <f>IFERROR((VLOOKUP(A56,'Food Database'!$A$2:$E$105,2,FALSE) * B56) / 100, "")</f>
        <v/>
      </c>
      <c r="D56" s="4" t="str">
        <f>IFERROR((VLOOKUP(A56,'Food Database'!$A$2:$E$105,3,FALSE) * B56) / 100, "")</f>
        <v/>
      </c>
      <c r="E56" s="4" t="str">
        <f>IFERROR((VLOOKUP(A56,'Food Database'!$A$2:$E$105,4,FALSE) * B56) / 100, "")</f>
        <v/>
      </c>
      <c r="F56" s="4" t="str">
        <f>IFERROR((VLOOKUP(A56,'Food Database'!$A$2:$E$105,5,FALSE) * B56) / 100, "")</f>
        <v/>
      </c>
    </row>
    <row r="57" spans="1:6" x14ac:dyDescent="0.3">
      <c r="A57" s="3"/>
      <c r="C57" s="4" t="str">
        <f>IFERROR((VLOOKUP(A57,'Food Database'!$A$2:$E$105,2,FALSE) * B57) / 100, "")</f>
        <v/>
      </c>
      <c r="D57" s="4" t="str">
        <f>IFERROR((VLOOKUP(A57,'Food Database'!$A$2:$E$105,3,FALSE) * B57) / 100, "")</f>
        <v/>
      </c>
      <c r="E57" s="4" t="str">
        <f>IFERROR((VLOOKUP(A57,'Food Database'!$A$2:$E$105,4,FALSE) * B57) / 100, "")</f>
        <v/>
      </c>
      <c r="F57" s="4" t="str">
        <f>IFERROR((VLOOKUP(A57,'Food Database'!$A$2:$E$105,5,FALSE) * B57) / 100, "")</f>
        <v/>
      </c>
    </row>
    <row r="58" spans="1:6" x14ac:dyDescent="0.3">
      <c r="A58" s="3"/>
      <c r="C58" s="4" t="str">
        <f>IFERROR((VLOOKUP(A58,'Food Database'!$A$2:$E$105,2,FALSE) * B58) / 100, "")</f>
        <v/>
      </c>
      <c r="D58" s="4" t="str">
        <f>IFERROR((VLOOKUP(A58,'Food Database'!$A$2:$E$105,3,FALSE) * B58) / 100, "")</f>
        <v/>
      </c>
      <c r="E58" s="4" t="str">
        <f>IFERROR((VLOOKUP(A58,'Food Database'!$A$2:$E$105,4,FALSE) * B58) / 100, "")</f>
        <v/>
      </c>
      <c r="F58" s="4" t="str">
        <f>IFERROR((VLOOKUP(A58,'Food Database'!$A$2:$E$105,5,FALSE) * B58) / 100, "")</f>
        <v/>
      </c>
    </row>
    <row r="59" spans="1:6" x14ac:dyDescent="0.3">
      <c r="A59" s="3"/>
      <c r="C59" s="4" t="str">
        <f>IFERROR((VLOOKUP(A59,'Food Database'!$A$2:$E$105,2,FALSE) * B59) / 100, "")</f>
        <v/>
      </c>
      <c r="D59" s="4" t="str">
        <f>IFERROR((VLOOKUP(A59,'Food Database'!$A$2:$E$105,3,FALSE) * B59) / 100, "")</f>
        <v/>
      </c>
      <c r="E59" s="4" t="str">
        <f>IFERROR((VLOOKUP(A59,'Food Database'!$A$2:$E$105,4,FALSE) * B59) / 100, "")</f>
        <v/>
      </c>
      <c r="F59" s="4" t="str">
        <f>IFERROR((VLOOKUP(A59,'Food Database'!$A$2:$E$105,5,FALSE) * B59) / 100, "")</f>
        <v/>
      </c>
    </row>
    <row r="60" spans="1:6" x14ac:dyDescent="0.3">
      <c r="A60" s="3"/>
      <c r="C60" s="4" t="str">
        <f>IFERROR((VLOOKUP(A60,'Food Database'!$A$2:$E$105,2,FALSE) * B60) / 100, "")</f>
        <v/>
      </c>
      <c r="D60" s="4" t="str">
        <f>IFERROR((VLOOKUP(A60,'Food Database'!$A$2:$E$105,3,FALSE) * B60) / 100, "")</f>
        <v/>
      </c>
      <c r="E60" s="4" t="str">
        <f>IFERROR((VLOOKUP(A60,'Food Database'!$A$2:$E$105,4,FALSE) * B60) / 100, "")</f>
        <v/>
      </c>
      <c r="F60" s="4" t="str">
        <f>IFERROR((VLOOKUP(A60,'Food Database'!$A$2:$E$105,5,FALSE) * B60) / 100, "")</f>
        <v/>
      </c>
    </row>
    <row r="61" spans="1:6" x14ac:dyDescent="0.3">
      <c r="A61" s="3"/>
      <c r="C61" s="4" t="str">
        <f>IFERROR((VLOOKUP(A61,'Food Database'!$A$2:$E$105,2,FALSE) * B61) / 100, "")</f>
        <v/>
      </c>
      <c r="D61" s="4" t="str">
        <f>IFERROR((VLOOKUP(A61,'Food Database'!$A$2:$E$105,3,FALSE) * B61) / 100, "")</f>
        <v/>
      </c>
      <c r="E61" s="4" t="str">
        <f>IFERROR((VLOOKUP(A61,'Food Database'!$A$2:$E$105,4,FALSE) * B61) / 100, "")</f>
        <v/>
      </c>
      <c r="F61" s="4" t="str">
        <f>IFERROR((VLOOKUP(A61,'Food Database'!$A$2:$E$105,5,FALSE) * B61) / 100, "")</f>
        <v/>
      </c>
    </row>
    <row r="62" spans="1:6" x14ac:dyDescent="0.3">
      <c r="A62" s="3"/>
      <c r="C62" s="4" t="str">
        <f>IFERROR((VLOOKUP(A62,'Food Database'!$A$2:$E$105,2,FALSE) * B62) / 100, "")</f>
        <v/>
      </c>
      <c r="D62" s="4" t="str">
        <f>IFERROR((VLOOKUP(A62,'Food Database'!$A$2:$E$105,3,FALSE) * B62) / 100, "")</f>
        <v/>
      </c>
      <c r="E62" s="4" t="str">
        <f>IFERROR((VLOOKUP(A62,'Food Database'!$A$2:$E$105,4,FALSE) * B62) / 100, "")</f>
        <v/>
      </c>
      <c r="F62" s="4" t="str">
        <f>IFERROR((VLOOKUP(A62,'Food Database'!$A$2:$E$105,5,FALSE) * B62) / 100, "")</f>
        <v/>
      </c>
    </row>
    <row r="63" spans="1:6" x14ac:dyDescent="0.3">
      <c r="A63" s="3"/>
      <c r="C63" s="4" t="str">
        <f>IFERROR((VLOOKUP(A63,'Food Database'!$A$2:$E$105,2,FALSE) * B63) / 100, "")</f>
        <v/>
      </c>
      <c r="D63" s="4" t="str">
        <f>IFERROR((VLOOKUP(A63,'Food Database'!$A$2:$E$105,3,FALSE) * B63) / 100, "")</f>
        <v/>
      </c>
      <c r="E63" s="4" t="str">
        <f>IFERROR((VLOOKUP(A63,'Food Database'!$A$2:$E$105,4,FALSE) * B63) / 100, "")</f>
        <v/>
      </c>
      <c r="F63" s="4" t="str">
        <f>IFERROR((VLOOKUP(A63,'Food Database'!$A$2:$E$105,5,FALSE) * B63) / 100, "")</f>
        <v/>
      </c>
    </row>
    <row r="64" spans="1:6" x14ac:dyDescent="0.3">
      <c r="A64" s="3"/>
      <c r="C64" s="4" t="str">
        <f>IFERROR((VLOOKUP(A64,'Food Database'!$A$2:$E$105,2,FALSE) * B64) / 100, "")</f>
        <v/>
      </c>
      <c r="D64" s="4" t="str">
        <f>IFERROR((VLOOKUP(A64,'Food Database'!$A$2:$E$105,3,FALSE) * B64) / 100, "")</f>
        <v/>
      </c>
      <c r="E64" s="4" t="str">
        <f>IFERROR((VLOOKUP(A64,'Food Database'!$A$2:$E$105,4,FALSE) * B64) / 100, "")</f>
        <v/>
      </c>
      <c r="F64" s="4" t="str">
        <f>IFERROR((VLOOKUP(A64,'Food Database'!$A$2:$E$105,5,FALSE) * B64) / 100, "")</f>
        <v/>
      </c>
    </row>
    <row r="65" spans="1:6" x14ac:dyDescent="0.3">
      <c r="A65" s="3"/>
      <c r="C65" s="4" t="str">
        <f>IFERROR((VLOOKUP(A65,'Food Database'!$A$2:$E$105,2,FALSE) * B65) / 100, "")</f>
        <v/>
      </c>
      <c r="D65" s="4" t="str">
        <f>IFERROR((VLOOKUP(A65,'Food Database'!$A$2:$E$105,3,FALSE) * B65) / 100, "")</f>
        <v/>
      </c>
      <c r="E65" s="4" t="str">
        <f>IFERROR((VLOOKUP(A65,'Food Database'!$A$2:$E$105,4,FALSE) * B65) / 100, "")</f>
        <v/>
      </c>
      <c r="F65" s="4" t="str">
        <f>IFERROR((VLOOKUP(A65,'Food Database'!$A$2:$E$105,5,FALSE) * B65) / 100, "")</f>
        <v/>
      </c>
    </row>
    <row r="66" spans="1:6" x14ac:dyDescent="0.3">
      <c r="A66" s="3"/>
      <c r="C66" s="4" t="str">
        <f>IFERROR((VLOOKUP(A66,'Food Database'!$A$2:$E$105,2,FALSE) * B66) / 100, "")</f>
        <v/>
      </c>
      <c r="D66" s="4" t="str">
        <f>IFERROR((VLOOKUP(A66,'Food Database'!$A$2:$E$105,3,FALSE) * B66) / 100, "")</f>
        <v/>
      </c>
      <c r="E66" s="4" t="str">
        <f>IFERROR((VLOOKUP(A66,'Food Database'!$A$2:$E$105,4,FALSE) * B66) / 100, "")</f>
        <v/>
      </c>
      <c r="F66" s="4" t="str">
        <f>IFERROR((VLOOKUP(A66,'Food Database'!$A$2:$E$105,5,FALSE) * B66) / 100, "")</f>
        <v/>
      </c>
    </row>
    <row r="67" spans="1:6" x14ac:dyDescent="0.3">
      <c r="A67" s="3"/>
      <c r="C67" s="4" t="str">
        <f>IFERROR((VLOOKUP(A67,'Food Database'!$A$2:$E$105,2,FALSE) * B67) / 100, "")</f>
        <v/>
      </c>
      <c r="D67" s="4" t="str">
        <f>IFERROR((VLOOKUP(A67,'Food Database'!$A$2:$E$105,3,FALSE) * B67) / 100, "")</f>
        <v/>
      </c>
      <c r="E67" s="4" t="str">
        <f>IFERROR((VLOOKUP(A67,'Food Database'!$A$2:$E$105,4,FALSE) * B67) / 100, "")</f>
        <v/>
      </c>
      <c r="F67" s="4" t="str">
        <f>IFERROR((VLOOKUP(A67,'Food Database'!$A$2:$E$105,5,FALSE) * B67) / 100, "")</f>
        <v/>
      </c>
    </row>
    <row r="68" spans="1:6" x14ac:dyDescent="0.3">
      <c r="A68" s="3"/>
      <c r="C68" s="4" t="str">
        <f>IFERROR((VLOOKUP(A68,'Food Database'!$A$2:$E$105,2,FALSE) * B68) / 100, "")</f>
        <v/>
      </c>
      <c r="D68" s="4" t="str">
        <f>IFERROR((VLOOKUP(A68,'Food Database'!$A$2:$E$105,3,FALSE) * B68) / 100, "")</f>
        <v/>
      </c>
      <c r="E68" s="4" t="str">
        <f>IFERROR((VLOOKUP(A68,'Food Database'!$A$2:$E$105,4,FALSE) * B68) / 100, "")</f>
        <v/>
      </c>
      <c r="F68" s="4" t="str">
        <f>IFERROR((VLOOKUP(A68,'Food Database'!$A$2:$E$105,5,FALSE) * B68) / 100, "")</f>
        <v/>
      </c>
    </row>
    <row r="69" spans="1:6" x14ac:dyDescent="0.3">
      <c r="A69" s="3"/>
      <c r="C69" s="4" t="str">
        <f>IFERROR((VLOOKUP(A69,'Food Database'!$A$2:$E$105,2,FALSE) * B69) / 100, "")</f>
        <v/>
      </c>
      <c r="D69" s="4" t="str">
        <f>IFERROR((VLOOKUP(A69,'Food Database'!$A$2:$E$105,3,FALSE) * B69) / 100, "")</f>
        <v/>
      </c>
      <c r="E69" s="4" t="str">
        <f>IFERROR((VLOOKUP(A69,'Food Database'!$A$2:$E$105,4,FALSE) * B69) / 100, "")</f>
        <v/>
      </c>
      <c r="F69" s="4" t="str">
        <f>IFERROR((VLOOKUP(A69,'Food Database'!$A$2:$E$105,5,FALSE) * B69) / 100, "")</f>
        <v/>
      </c>
    </row>
    <row r="70" spans="1:6" x14ac:dyDescent="0.3">
      <c r="A70" s="3"/>
      <c r="C70" s="4" t="str">
        <f>IFERROR((VLOOKUP(A70,'Food Database'!$A$2:$E$105,2,FALSE) * B70) / 100, "")</f>
        <v/>
      </c>
      <c r="D70" s="4" t="str">
        <f>IFERROR((VLOOKUP(A70,'Food Database'!$A$2:$E$105,3,FALSE) * B70) / 100, "")</f>
        <v/>
      </c>
      <c r="E70" s="4" t="str">
        <f>IFERROR((VLOOKUP(A70,'Food Database'!$A$2:$E$105,4,FALSE) * B70) / 100, "")</f>
        <v/>
      </c>
      <c r="F70" s="4" t="str">
        <f>IFERROR((VLOOKUP(A70,'Food Database'!$A$2:$E$105,5,FALSE) * B70) / 100, "")</f>
        <v/>
      </c>
    </row>
    <row r="71" spans="1:6" x14ac:dyDescent="0.3">
      <c r="A71" s="3"/>
      <c r="C71" s="4" t="str">
        <f>IFERROR((VLOOKUP(A71,'Food Database'!$A$2:$E$105,2,FALSE) * B71) / 100, "")</f>
        <v/>
      </c>
      <c r="D71" s="4" t="str">
        <f>IFERROR((VLOOKUP(A71,'Food Database'!$A$2:$E$105,3,FALSE) * B71) / 100, "")</f>
        <v/>
      </c>
      <c r="E71" s="4" t="str">
        <f>IFERROR((VLOOKUP(A71,'Food Database'!$A$2:$E$105,4,FALSE) * B71) / 100, "")</f>
        <v/>
      </c>
      <c r="F71" s="4" t="str">
        <f>IFERROR((VLOOKUP(A71,'Food Database'!$A$2:$E$105,5,FALSE) * B71) / 100, "")</f>
        <v/>
      </c>
    </row>
  </sheetData>
  <mergeCells count="1">
    <mergeCell ref="J9:N9"/>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E2BE331-D5E4-43F8-A98F-55A9C713A3E2}">
          <x14:formula1>
            <xm:f>'Food Database'!$A$3:$A$205</xm:f>
          </x14:formula1>
          <xm:sqref>A2:A71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82944-F23C-42D4-88A2-190051891B1E}">
  <dimension ref="A1:N71"/>
  <sheetViews>
    <sheetView tabSelected="1" zoomScale="115" zoomScaleNormal="85" workbookViewId="0">
      <selection activeCell="H18" sqref="H18"/>
    </sheetView>
  </sheetViews>
  <sheetFormatPr defaultColWidth="9.109375" defaultRowHeight="14.4" x14ac:dyDescent="0.3"/>
  <cols>
    <col min="1" max="1" width="44.6640625" style="5" bestFit="1" customWidth="1"/>
    <col min="2" max="2" width="21.88671875" style="5" bestFit="1" customWidth="1"/>
    <col min="3" max="3" width="8.6640625" style="5" bestFit="1" customWidth="1"/>
    <col min="4" max="4" width="10.44140625" style="5" bestFit="1" customWidth="1"/>
    <col min="5" max="5" width="7.44140625" style="5" bestFit="1" customWidth="1"/>
    <col min="6" max="6" width="8.109375" style="5" bestFit="1" customWidth="1"/>
    <col min="7" max="8" width="9.109375" style="5"/>
    <col min="9" max="9" width="11.33203125" style="5" bestFit="1" customWidth="1"/>
    <col min="10" max="10" width="11" style="5" bestFit="1" customWidth="1"/>
    <col min="11" max="11" width="8.109375" style="5" bestFit="1" customWidth="1"/>
    <col min="12" max="12" width="7.109375" style="5" customWidth="1"/>
    <col min="13" max="13" width="8.6640625" style="5" bestFit="1" customWidth="1"/>
    <col min="14" max="14" width="11" style="5" customWidth="1"/>
    <col min="15" max="16384" width="9.109375" style="5"/>
  </cols>
  <sheetData>
    <row r="1" spans="1:14" ht="15" thickBot="1" x14ac:dyDescent="0.35">
      <c r="A1" s="1" t="s">
        <v>2</v>
      </c>
      <c r="B1" s="1" t="s">
        <v>52</v>
      </c>
      <c r="C1" s="2" t="s">
        <v>3</v>
      </c>
      <c r="D1" s="2" t="s">
        <v>4</v>
      </c>
      <c r="E1" s="2" t="s">
        <v>5</v>
      </c>
      <c r="F1" s="2" t="s">
        <v>6</v>
      </c>
    </row>
    <row r="2" spans="1:14" ht="15" thickTop="1" x14ac:dyDescent="0.3">
      <c r="A2" s="3" t="s">
        <v>8</v>
      </c>
      <c r="B2" s="3">
        <v>75</v>
      </c>
      <c r="C2" s="4">
        <f>IFERROR((VLOOKUP(A2,'Food Database'!$A$2:$E$105,2,FALSE) * B2) / 100, "")</f>
        <v>41.25</v>
      </c>
      <c r="D2" s="4">
        <f>IFERROR((VLOOKUP(A2,'Food Database'!$A$2:$E$105,3,FALSE) * B2) / 100, "")</f>
        <v>6.75</v>
      </c>
      <c r="E2" s="4">
        <f>IFERROR((VLOOKUP(A2,'Food Database'!$A$2:$E$105,4,FALSE) * B2) / 100, "")</f>
        <v>1.5</v>
      </c>
      <c r="F2" s="4">
        <f>IFERROR((VLOOKUP(A2,'Food Database'!$A$2:$E$105,5,FALSE) * B2) / 100, "")</f>
        <v>205.5</v>
      </c>
    </row>
    <row r="3" spans="1:14" x14ac:dyDescent="0.3">
      <c r="A3" s="3" t="s">
        <v>10</v>
      </c>
      <c r="B3" s="5">
        <v>70</v>
      </c>
      <c r="C3" s="4">
        <f>IFERROR((VLOOKUP(A3,'Food Database'!$A$2:$E$105,2,FALSE) * B3) / 100, "")</f>
        <v>0.7</v>
      </c>
      <c r="D3" s="4">
        <f>IFERROR((VLOOKUP(A3,'Food Database'!$A$2:$E$105,3,FALSE) * B3) / 100, "")</f>
        <v>17.5</v>
      </c>
      <c r="E3" s="4">
        <f>IFERROR((VLOOKUP(A3,'Food Database'!$A$2:$E$105,4,FALSE) * B3) / 100, "")</f>
        <v>21</v>
      </c>
      <c r="F3" s="4">
        <f>IFERROR((VLOOKUP(A3,'Food Database'!$A$2:$E$105,5,FALSE) * B3) / 100, "")</f>
        <v>261.8</v>
      </c>
    </row>
    <row r="4" spans="1:14" x14ac:dyDescent="0.3">
      <c r="A4" s="3" t="s">
        <v>12</v>
      </c>
      <c r="B4" s="5">
        <v>90</v>
      </c>
      <c r="C4" s="4">
        <f>IFERROR((VLOOKUP(A4,'Food Database'!$A$2:$E$105,2,FALSE) * B4) / 100, "")</f>
        <v>0.9900000000000001</v>
      </c>
      <c r="D4" s="4">
        <f>IFERROR((VLOOKUP(A4,'Food Database'!$A$2:$E$105,3,FALSE) * B4) / 100, "")</f>
        <v>11.7</v>
      </c>
      <c r="E4" s="4">
        <f>IFERROR((VLOOKUP(A4,'Food Database'!$A$2:$E$105,4,FALSE) * B4) / 100, "")</f>
        <v>9.9</v>
      </c>
      <c r="F4" s="4">
        <f>IFERROR((VLOOKUP(A4,'Food Database'!$A$2:$E$105,5,FALSE) * B4) / 100, "")</f>
        <v>139.86000000000001</v>
      </c>
    </row>
    <row r="5" spans="1:14" x14ac:dyDescent="0.3">
      <c r="A5" s="3" t="s">
        <v>62</v>
      </c>
      <c r="B5" s="5">
        <v>80</v>
      </c>
      <c r="C5" s="4">
        <f>IFERROR((VLOOKUP(A5,'Food Database'!$A$2:$E$105,2,FALSE) * B5) / 100, "")</f>
        <v>4.8</v>
      </c>
      <c r="D5" s="4">
        <f>IFERROR((VLOOKUP(A5,'Food Database'!$A$2:$E$105,3,FALSE) * B5) / 100, "")</f>
        <v>0.8</v>
      </c>
      <c r="E5" s="4">
        <f>IFERROR((VLOOKUP(A5,'Food Database'!$A$2:$E$105,4,FALSE) * B5) / 100, "")</f>
        <v>0.24</v>
      </c>
      <c r="F5" s="4">
        <f>IFERROR((VLOOKUP(A5,'Food Database'!$A$2:$E$105,5,FALSE) * B5) / 100, "")</f>
        <v>24.56</v>
      </c>
    </row>
    <row r="6" spans="1:14" x14ac:dyDescent="0.3">
      <c r="A6" s="3" t="s">
        <v>64</v>
      </c>
      <c r="B6" s="5">
        <v>85</v>
      </c>
      <c r="C6" s="4">
        <f>IFERROR((VLOOKUP(A6,'Food Database'!$A$2:$E$105,2,FALSE) * B6) / 100, "")</f>
        <v>8.5</v>
      </c>
      <c r="D6" s="4">
        <f>IFERROR((VLOOKUP(A6,'Food Database'!$A$2:$E$105,3,FALSE) * B6) / 100, "")</f>
        <v>0.76500000000000001</v>
      </c>
      <c r="E6" s="4">
        <f>IFERROR((VLOOKUP(A6,'Food Database'!$A$2:$E$105,4,FALSE) * B6) / 100, "")</f>
        <v>0.17</v>
      </c>
      <c r="F6" s="4">
        <f>IFERROR((VLOOKUP(A6,'Food Database'!$A$2:$E$105,5,FALSE) * B6) / 100, "")</f>
        <v>38.590000000000003</v>
      </c>
    </row>
    <row r="7" spans="1:14" ht="15" thickBot="1" x14ac:dyDescent="0.35">
      <c r="A7" s="3" t="s">
        <v>14</v>
      </c>
      <c r="B7" s="5">
        <v>200</v>
      </c>
      <c r="C7" s="4">
        <f>IFERROR((VLOOKUP(A7,'Food Database'!$A$2:$E$105,2,FALSE) * B7) / 100, "")</f>
        <v>23</v>
      </c>
      <c r="D7" s="4">
        <f>IFERROR((VLOOKUP(A7,'Food Database'!$A$2:$E$105,3,FALSE) * B7) / 100, "")</f>
        <v>6</v>
      </c>
      <c r="E7" s="4">
        <f>IFERROR((VLOOKUP(A7,'Food Database'!$A$2:$E$105,4,FALSE) * B7) / 100, "")</f>
        <v>3</v>
      </c>
      <c r="F7" s="4">
        <f>IFERROR((VLOOKUP(A7,'Food Database'!$A$2:$E$105,5,FALSE) * B7) / 100, "")</f>
        <v>143</v>
      </c>
    </row>
    <row r="8" spans="1:14" ht="15.6" thickTop="1" thickBot="1" x14ac:dyDescent="0.35">
      <c r="A8" s="3" t="s">
        <v>16</v>
      </c>
      <c r="B8" s="5">
        <v>100</v>
      </c>
      <c r="C8" s="4">
        <f>IFERROR((VLOOKUP(A8,'Food Database'!$A$2:$E$105,2,FALSE) * B8) / 100, "")</f>
        <v>60.4</v>
      </c>
      <c r="D8" s="4">
        <f>IFERROR((VLOOKUP(A8,'Food Database'!$A$2:$E$105,3,FALSE) * B8) / 100, "")</f>
        <v>30</v>
      </c>
      <c r="E8" s="4">
        <f>IFERROR((VLOOKUP(A8,'Food Database'!$A$2:$E$105,4,FALSE) * B8) / 100, "")</f>
        <v>2</v>
      </c>
      <c r="F8" s="4">
        <f>IFERROR((VLOOKUP(A8,'Food Database'!$A$2:$E$105,5,FALSE) * B8) / 100, "")</f>
        <v>379.6</v>
      </c>
      <c r="J8" s="14" t="s">
        <v>53</v>
      </c>
      <c r="K8" s="15"/>
      <c r="L8" s="15"/>
      <c r="M8" s="15"/>
      <c r="N8" s="16"/>
    </row>
    <row r="9" spans="1:14" ht="15.6" thickTop="1" thickBot="1" x14ac:dyDescent="0.35">
      <c r="A9" s="3" t="s">
        <v>71</v>
      </c>
      <c r="B9" s="5">
        <v>165</v>
      </c>
      <c r="C9" s="4">
        <f>IFERROR((VLOOKUP(A9,'Food Database'!$A$2:$E$105,2,FALSE) * B9) / 100, "")</f>
        <v>7.92</v>
      </c>
      <c r="D9" s="4">
        <f>IFERROR((VLOOKUP(A9,'Food Database'!$A$2:$E$105,3,FALSE) * B9) / 100, "")</f>
        <v>5.4450000000000003</v>
      </c>
      <c r="E9" s="4">
        <f>IFERROR((VLOOKUP(A9,'Food Database'!$A$2:$E$105,4,FALSE) * B9) / 100, "")</f>
        <v>4.95</v>
      </c>
      <c r="F9" s="4">
        <f>IFERROR((VLOOKUP(A9,'Food Database'!$A$2:$E$105,5,FALSE) * B9) / 100, "")</f>
        <v>98.01</v>
      </c>
      <c r="J9" s="6" t="s">
        <v>54</v>
      </c>
      <c r="K9" s="4" t="s">
        <v>55</v>
      </c>
      <c r="L9" s="4" t="s">
        <v>56</v>
      </c>
      <c r="M9" s="4" t="s">
        <v>57</v>
      </c>
      <c r="N9" s="4" t="s">
        <v>6</v>
      </c>
    </row>
    <row r="10" spans="1:14" ht="15.6" thickTop="1" thickBot="1" x14ac:dyDescent="0.35">
      <c r="A10" s="3" t="s">
        <v>20</v>
      </c>
      <c r="B10" s="5">
        <v>8</v>
      </c>
      <c r="C10" s="4">
        <f>IFERROR((VLOOKUP(A10,'Food Database'!$A$2:$E$105,2,FALSE) * B10) / 100, "")</f>
        <v>6.5920000000000005</v>
      </c>
      <c r="D10" s="4">
        <f>IFERROR((VLOOKUP(A10,'Food Database'!$A$2:$E$105,3,FALSE) * B10) / 100, "")</f>
        <v>2.4E-2</v>
      </c>
      <c r="E10" s="4">
        <f>IFERROR((VLOOKUP(A10,'Food Database'!$A$2:$E$105,4,FALSE) * B10) / 100, "")</f>
        <v>0</v>
      </c>
      <c r="F10" s="4">
        <f>IFERROR((VLOOKUP(A10,'Food Database'!$A$2:$E$105,5,FALSE) * B10) / 100, "")</f>
        <v>26.464000000000002</v>
      </c>
      <c r="J10" s="7" t="s">
        <v>58</v>
      </c>
      <c r="K10" s="7">
        <f>SUM(C2:C70)</f>
        <v>246.51700000000002</v>
      </c>
      <c r="L10" s="7">
        <f>SUM(D2:D70)</f>
        <v>164.49900000000002</v>
      </c>
      <c r="M10" s="7">
        <f>SUM(E2:E70)</f>
        <v>85.282692307692301</v>
      </c>
      <c r="N10" s="7">
        <f>SUM(F2:F70)</f>
        <v>2411.6082307692309</v>
      </c>
    </row>
    <row r="11" spans="1:14" ht="15.6" thickTop="1" thickBot="1" x14ac:dyDescent="0.35">
      <c r="A11" s="3" t="s">
        <v>30</v>
      </c>
      <c r="B11" s="5">
        <f>2.5*8</f>
        <v>20</v>
      </c>
      <c r="C11" s="4">
        <f>IFERROR((VLOOKUP(A11,'Food Database'!$A$2:$E$105,2,FALSE) * B11) / 100, "")</f>
        <v>2.74</v>
      </c>
      <c r="D11" s="4">
        <f>IFERROR((VLOOKUP(A11,'Food Database'!$A$2:$E$105,3,FALSE) * B11) / 100, "")</f>
        <v>3.04</v>
      </c>
      <c r="E11" s="4">
        <f>IFERROR((VLOOKUP(A11,'Food Database'!$A$2:$E$105,4,FALSE) * B11) / 100, "")</f>
        <v>13.04</v>
      </c>
      <c r="F11" s="4">
        <f>IFERROR((VLOOKUP(A11,'Food Database'!$A$2:$E$105,5,FALSE) * B11) / 100, "")</f>
        <v>140.48000000000002</v>
      </c>
      <c r="J11" s="7" t="s">
        <v>59</v>
      </c>
      <c r="K11" s="8">
        <f>(K10*4)/N10</f>
        <v>0.4088839917773352</v>
      </c>
      <c r="L11" s="8">
        <f>(L10*4)/N10</f>
        <v>0.27284531193946004</v>
      </c>
      <c r="M11" s="8">
        <f>(M10*9)/N10</f>
        <v>0.31827069628320476</v>
      </c>
      <c r="N11" s="8" t="s">
        <v>54</v>
      </c>
    </row>
    <row r="12" spans="1:14" ht="15" thickTop="1" x14ac:dyDescent="0.3">
      <c r="A12" s="3" t="s">
        <v>40</v>
      </c>
      <c r="B12" s="5">
        <v>105</v>
      </c>
      <c r="C12" s="4">
        <f>IFERROR((VLOOKUP(A12,'Food Database'!$A$2:$E$105,2,FALSE) * B12) / 100, "")</f>
        <v>5.3</v>
      </c>
      <c r="D12" s="4">
        <f>IFERROR((VLOOKUP(A12,'Food Database'!$A$2:$E$105,3,FALSE) * B12) / 100, "")</f>
        <v>3.8</v>
      </c>
      <c r="E12" s="4">
        <f>IFERROR((VLOOKUP(A12,'Food Database'!$A$2:$E$105,4,FALSE) * B12) / 100, "")</f>
        <v>3.4</v>
      </c>
      <c r="F12" s="4">
        <f>IFERROR((VLOOKUP(A12,'Food Database'!$A$2:$E$105,5,FALSE) * B12) / 100, "")</f>
        <v>67</v>
      </c>
    </row>
    <row r="13" spans="1:14" x14ac:dyDescent="0.3">
      <c r="A13" s="3" t="s">
        <v>74</v>
      </c>
      <c r="B13" s="5">
        <v>200</v>
      </c>
      <c r="C13" s="4">
        <f>IFERROR((VLOOKUP(A13,'Food Database'!$A$2:$E$105,2,FALSE) * B13) / 100, "")</f>
        <v>26.1</v>
      </c>
      <c r="D13" s="4">
        <f>IFERROR((VLOOKUP(A13,'Food Database'!$A$2:$E$105,3,FALSE) * B13) / 100, "")</f>
        <v>2.9</v>
      </c>
      <c r="E13" s="4">
        <f>IFERROR((VLOOKUP(A13,'Food Database'!$A$2:$E$105,4,FALSE) * B13) / 100, "")</f>
        <v>0.4</v>
      </c>
      <c r="F13" s="4">
        <f>IFERROR((VLOOKUP(A13,'Food Database'!$A$2:$E$105,5,FALSE) * B13) / 100, "")</f>
        <v>119.6</v>
      </c>
    </row>
    <row r="14" spans="1:14" x14ac:dyDescent="0.3">
      <c r="A14" s="3" t="s">
        <v>22</v>
      </c>
      <c r="B14" s="5">
        <v>200</v>
      </c>
      <c r="C14" s="4">
        <f>IFERROR((VLOOKUP(A14,'Food Database'!$A$2:$E$105,2,FALSE) * B14) / 100, "")</f>
        <v>0</v>
      </c>
      <c r="D14" s="4">
        <f>IFERROR((VLOOKUP(A14,'Food Database'!$A$2:$E$105,3,FALSE) * B14) / 100, "")</f>
        <v>62</v>
      </c>
      <c r="E14" s="4">
        <f>IFERROR((VLOOKUP(A14,'Food Database'!$A$2:$E$105,4,FALSE) * B14) / 100, "")</f>
        <v>7.2</v>
      </c>
      <c r="F14" s="4">
        <f>IFERROR((VLOOKUP(A14,'Food Database'!$A$2:$E$105,5,FALSE) * B14) / 100, "")</f>
        <v>312.8</v>
      </c>
    </row>
    <row r="15" spans="1:14" x14ac:dyDescent="0.3">
      <c r="A15" s="3" t="s">
        <v>23</v>
      </c>
      <c r="B15" s="5">
        <v>250</v>
      </c>
      <c r="C15" s="4">
        <f>IFERROR((VLOOKUP(A15,'Food Database'!$A$2:$E$105,2,FALSE) * B15) / 100, "")</f>
        <v>35</v>
      </c>
      <c r="D15" s="4">
        <f>IFERROR((VLOOKUP(A15,'Food Database'!$A$2:$E$105,3,FALSE) * B15) / 100, "")</f>
        <v>0</v>
      </c>
      <c r="E15" s="4">
        <f>IFERROR((VLOOKUP(A15,'Food Database'!$A$2:$E$105,4,FALSE) * B15) / 100, "")</f>
        <v>0</v>
      </c>
      <c r="F15" s="4">
        <f>IFERROR((VLOOKUP(A15,'Food Database'!$A$2:$E$105,5,FALSE) * B15) / 100, "")</f>
        <v>140</v>
      </c>
    </row>
    <row r="16" spans="1:14" x14ac:dyDescent="0.3">
      <c r="A16" s="3" t="s">
        <v>24</v>
      </c>
      <c r="B16" s="5">
        <v>40</v>
      </c>
      <c r="C16" s="4">
        <f>IFERROR((VLOOKUP(A16,'Food Database'!$A$2:$E$105,2,FALSE) * B16) / 100, "")</f>
        <v>21.2</v>
      </c>
      <c r="D16" s="4">
        <f>IFERROR((VLOOKUP(A16,'Food Database'!$A$2:$E$105,3,FALSE) * B16) / 100, "")</f>
        <v>4.4000000000000004</v>
      </c>
      <c r="E16" s="4">
        <f>IFERROR((VLOOKUP(A16,'Food Database'!$A$2:$E$105,4,FALSE) * B16) / 100, "")</f>
        <v>1.6</v>
      </c>
      <c r="F16" s="4">
        <f>IFERROR((VLOOKUP(A16,'Food Database'!$A$2:$E$105,5,FALSE) * B16) / 100, "")</f>
        <v>116.8</v>
      </c>
    </row>
    <row r="17" spans="1:6" x14ac:dyDescent="0.3">
      <c r="A17" s="3" t="s">
        <v>25</v>
      </c>
      <c r="B17" s="5">
        <v>75</v>
      </c>
      <c r="C17" s="4">
        <f>IFERROR((VLOOKUP(A17,'Food Database'!$A$2:$E$105,2,FALSE) * B17) / 100, "")</f>
        <v>2.0249999999999999</v>
      </c>
      <c r="D17" s="4">
        <f>IFERROR((VLOOKUP(A17,'Food Database'!$A$2:$E$105,3,FALSE) * B17) / 100, "")</f>
        <v>9.375</v>
      </c>
      <c r="E17" s="4">
        <f>IFERROR((VLOOKUP(A17,'Food Database'!$A$2:$E$105,4,FALSE) * B17) / 100, "")</f>
        <v>3.375</v>
      </c>
      <c r="F17" s="4">
        <f>IFERROR((VLOOKUP(A17,'Food Database'!$A$2:$E$105,5,FALSE) * B17) / 100, "")</f>
        <v>75.974999999999994</v>
      </c>
    </row>
    <row r="18" spans="1:6" x14ac:dyDescent="0.3">
      <c r="A18" s="3" t="s">
        <v>77</v>
      </c>
      <c r="B18" s="5">
        <f>(B13/(B13+125))*10</f>
        <v>6.1538461538461542</v>
      </c>
      <c r="C18" s="4">
        <f>IFERROR((VLOOKUP(A18,'Food Database'!$A$2:$E$105,2,FALSE) * B18) / 100, "")</f>
        <v>0</v>
      </c>
      <c r="D18" s="4">
        <f>IFERROR((VLOOKUP(A18,'Food Database'!$A$2:$E$105,3,FALSE) * B18) / 100, "")</f>
        <v>0</v>
      </c>
      <c r="E18" s="4">
        <f>IFERROR((VLOOKUP(A18,'Food Database'!$A$2:$E$105,4,FALSE) * B18) / 100, "")</f>
        <v>4.9230769230769234</v>
      </c>
      <c r="F18" s="4">
        <f>IFERROR((VLOOKUP(A18,'Food Database'!$A$2:$E$105,5,FALSE) * B18) / 100, "")</f>
        <v>44.307692307692314</v>
      </c>
    </row>
    <row r="19" spans="1:6" x14ac:dyDescent="0.3">
      <c r="A19" s="3" t="s">
        <v>75</v>
      </c>
      <c r="B19" s="5">
        <f>(B13/(B13+125))*15</f>
        <v>9.2307692307692317</v>
      </c>
      <c r="C19" s="4">
        <f>IFERROR((VLOOKUP(A19,'Food Database'!$A$2:$E$105,2,FALSE) * B19) / 100, "")</f>
        <v>0</v>
      </c>
      <c r="D19" s="4">
        <f>IFERROR((VLOOKUP(A19,'Food Database'!$A$2:$E$105,3,FALSE) * B19) / 100, "")</f>
        <v>0</v>
      </c>
      <c r="E19" s="4">
        <f>IFERROR((VLOOKUP(A19,'Food Database'!$A$2:$E$105,4,FALSE) * B19) / 100, "")</f>
        <v>8.5846153846153861</v>
      </c>
      <c r="F19" s="4">
        <f>IFERROR((VLOOKUP(A19,'Food Database'!$A$2:$E$105,5,FALSE) * B19) / 100, "")</f>
        <v>77.261538461538464</v>
      </c>
    </row>
    <row r="20" spans="1:6" x14ac:dyDescent="0.3">
      <c r="A20" s="3"/>
      <c r="C20" s="4" t="str">
        <f>IFERROR((VLOOKUP(A20,'Food Database'!$A$2:$E$105,2,FALSE) * B20) / 100, "")</f>
        <v/>
      </c>
      <c r="D20" s="4" t="str">
        <f>IFERROR((VLOOKUP(A20,'Food Database'!$A$2:$E$105,3,FALSE) * B20) / 100, "")</f>
        <v/>
      </c>
      <c r="E20" s="4" t="str">
        <f>IFERROR((VLOOKUP(A20,'Food Database'!$A$2:$E$105,4,FALSE) * B20) / 100, "")</f>
        <v/>
      </c>
      <c r="F20" s="4" t="str">
        <f>IFERROR((VLOOKUP(A20,'Food Database'!$A$2:$E$105,5,FALSE) * B20) / 100, "")</f>
        <v/>
      </c>
    </row>
    <row r="21" spans="1:6" x14ac:dyDescent="0.3">
      <c r="A21" s="3"/>
      <c r="C21" s="4" t="str">
        <f>IFERROR((VLOOKUP(A21,'Food Database'!$A$2:$E$105,2,FALSE) * B21) / 100, "")</f>
        <v/>
      </c>
      <c r="D21" s="4" t="str">
        <f>IFERROR((VLOOKUP(A21,'Food Database'!$A$2:$E$105,3,FALSE) * B21) / 100, "")</f>
        <v/>
      </c>
      <c r="E21" s="4" t="str">
        <f>IFERROR((VLOOKUP(A21,'Food Database'!$A$2:$E$105,4,FALSE) * B21) / 100, "")</f>
        <v/>
      </c>
      <c r="F21" s="4" t="str">
        <f>IFERROR((VLOOKUP(A21,'Food Database'!$A$2:$E$105,5,FALSE) * B21) / 100, "")</f>
        <v/>
      </c>
    </row>
    <row r="22" spans="1:6" x14ac:dyDescent="0.3">
      <c r="A22" s="3"/>
      <c r="C22" s="4" t="str">
        <f>IFERROR((VLOOKUP(A22,'Food Database'!$A$2:$E$105,2,FALSE) * B22) / 100, "")</f>
        <v/>
      </c>
      <c r="D22" s="4" t="str">
        <f>IFERROR((VLOOKUP(A22,'Food Database'!$A$2:$E$105,3,FALSE) * B22) / 100, "")</f>
        <v/>
      </c>
      <c r="E22" s="4" t="str">
        <f>IFERROR((VLOOKUP(A22,'Food Database'!$A$2:$E$105,4,FALSE) * B22) / 100, "")</f>
        <v/>
      </c>
      <c r="F22" s="4" t="str">
        <f>IFERROR((VLOOKUP(A22,'Food Database'!$A$2:$E$105,5,FALSE) * B22) / 100, "")</f>
        <v/>
      </c>
    </row>
    <row r="23" spans="1:6" x14ac:dyDescent="0.3">
      <c r="A23" s="3"/>
      <c r="C23" s="4" t="str">
        <f>IFERROR((VLOOKUP(A23,'Food Database'!$A$2:$E$105,2,FALSE) * B23) / 100, "")</f>
        <v/>
      </c>
      <c r="D23" s="4" t="str">
        <f>IFERROR((VLOOKUP(A23,'Food Database'!$A$2:$E$105,3,FALSE) * B23) / 100, "")</f>
        <v/>
      </c>
      <c r="E23" s="4" t="str">
        <f>IFERROR((VLOOKUP(A23,'Food Database'!$A$2:$E$105,4,FALSE) * B23) / 100, "")</f>
        <v/>
      </c>
      <c r="F23" s="4" t="str">
        <f>IFERROR((VLOOKUP(A23,'Food Database'!$A$2:$E$105,5,FALSE) * B23) / 100, "")</f>
        <v/>
      </c>
    </row>
    <row r="24" spans="1:6" x14ac:dyDescent="0.3">
      <c r="A24" s="3"/>
      <c r="C24" s="4" t="str">
        <f>IFERROR((VLOOKUP(A24,'Food Database'!$A$2:$E$105,2,FALSE) * B24) / 100, "")</f>
        <v/>
      </c>
      <c r="D24" s="4" t="str">
        <f>IFERROR((VLOOKUP(A24,'Food Database'!$A$2:$E$105,3,FALSE) * B24) / 100, "")</f>
        <v/>
      </c>
      <c r="E24" s="4" t="str">
        <f>IFERROR((VLOOKUP(A24,'Food Database'!$A$2:$E$105,4,FALSE) * B24) / 100, "")</f>
        <v/>
      </c>
      <c r="F24" s="4" t="str">
        <f>IFERROR((VLOOKUP(A24,'Food Database'!$A$2:$E$105,5,FALSE) * B24) / 100, "")</f>
        <v/>
      </c>
    </row>
    <row r="25" spans="1:6" x14ac:dyDescent="0.3">
      <c r="A25" s="3"/>
      <c r="C25" s="4" t="str">
        <f>IFERROR((VLOOKUP(A25,'Food Database'!$A$2:$E$105,2,FALSE) * B25) / 100, "")</f>
        <v/>
      </c>
      <c r="D25" s="4" t="str">
        <f>IFERROR((VLOOKUP(A25,'Food Database'!$A$2:$E$105,3,FALSE) * B25) / 100, "")</f>
        <v/>
      </c>
      <c r="E25" s="4" t="str">
        <f>IFERROR((VLOOKUP(A25,'Food Database'!$A$2:$E$105,4,FALSE) * B25) / 100, "")</f>
        <v/>
      </c>
      <c r="F25" s="4" t="str">
        <f>IFERROR((VLOOKUP(A25,'Food Database'!$A$2:$E$105,5,FALSE) * B25) / 100, "")</f>
        <v/>
      </c>
    </row>
    <row r="26" spans="1:6" x14ac:dyDescent="0.3">
      <c r="A26" s="3"/>
      <c r="C26" s="4" t="str">
        <f>IFERROR((VLOOKUP(A26,'Food Database'!$A$2:$E$105,2,FALSE) * B26) / 100, "")</f>
        <v/>
      </c>
      <c r="D26" s="4" t="str">
        <f>IFERROR((VLOOKUP(A26,'Food Database'!$A$2:$E$105,3,FALSE) * B26) / 100, "")</f>
        <v/>
      </c>
      <c r="E26" s="4" t="str">
        <f>IFERROR((VLOOKUP(A26,'Food Database'!$A$2:$E$105,4,FALSE) * B26) / 100, "")</f>
        <v/>
      </c>
      <c r="F26" s="4" t="str">
        <f>IFERROR((VLOOKUP(A26,'Food Database'!$A$2:$E$105,5,FALSE) * B26) / 100, "")</f>
        <v/>
      </c>
    </row>
    <row r="27" spans="1:6" x14ac:dyDescent="0.3">
      <c r="A27" s="3"/>
      <c r="C27" s="4" t="str">
        <f>IFERROR((VLOOKUP(A27,'Food Database'!$A$2:$E$105,2,FALSE) * B27) / 100, "")</f>
        <v/>
      </c>
      <c r="D27" s="4" t="str">
        <f>IFERROR((VLOOKUP(A27,'Food Database'!$A$2:$E$105,3,FALSE) * B27) / 100, "")</f>
        <v/>
      </c>
      <c r="E27" s="4" t="str">
        <f>IFERROR((VLOOKUP(A27,'Food Database'!$A$2:$E$105,4,FALSE) * B27) / 100, "")</f>
        <v/>
      </c>
      <c r="F27" s="4" t="str">
        <f>IFERROR((VLOOKUP(A27,'Food Database'!$A$2:$E$105,5,FALSE) * B27) / 100, "")</f>
        <v/>
      </c>
    </row>
    <row r="28" spans="1:6" x14ac:dyDescent="0.3">
      <c r="A28" s="3"/>
      <c r="C28" s="4" t="str">
        <f>IFERROR((VLOOKUP(A28,'Food Database'!$A$2:$E$105,2,FALSE) * B28) / 100, "")</f>
        <v/>
      </c>
      <c r="D28" s="4" t="str">
        <f>IFERROR((VLOOKUP(A28,'Food Database'!$A$2:$E$105,3,FALSE) * B28) / 100, "")</f>
        <v/>
      </c>
      <c r="E28" s="4" t="str">
        <f>IFERROR((VLOOKUP(A28,'Food Database'!$A$2:$E$105,4,FALSE) * B28) / 100, "")</f>
        <v/>
      </c>
      <c r="F28" s="4" t="str">
        <f>IFERROR((VLOOKUP(A28,'Food Database'!$A$2:$E$105,5,FALSE) * B28) / 100, "")</f>
        <v/>
      </c>
    </row>
    <row r="29" spans="1:6" x14ac:dyDescent="0.3">
      <c r="A29" s="3"/>
      <c r="C29" s="4" t="str">
        <f>IFERROR((VLOOKUP(A29,'Food Database'!$A$2:$E$105,2,FALSE) * B29) / 100, "")</f>
        <v/>
      </c>
      <c r="D29" s="4" t="str">
        <f>IFERROR((VLOOKUP(A29,'Food Database'!$A$2:$E$105,3,FALSE) * B29) / 100, "")</f>
        <v/>
      </c>
      <c r="E29" s="4" t="str">
        <f>IFERROR((VLOOKUP(A29,'Food Database'!$A$2:$E$105,4,FALSE) * B29) / 100, "")</f>
        <v/>
      </c>
      <c r="F29" s="4" t="str">
        <f>IFERROR((VLOOKUP(A29,'Food Database'!$A$2:$E$105,5,FALSE) * B29) / 100, "")</f>
        <v/>
      </c>
    </row>
    <row r="30" spans="1:6" x14ac:dyDescent="0.3">
      <c r="A30" s="3"/>
      <c r="C30" s="4" t="str">
        <f>IFERROR((VLOOKUP(A30,'Food Database'!$A$2:$E$105,2,FALSE) * B30) / 100, "")</f>
        <v/>
      </c>
      <c r="D30" s="4" t="str">
        <f>IFERROR((VLOOKUP(A30,'Food Database'!$A$2:$E$105,3,FALSE) * B30) / 100, "")</f>
        <v/>
      </c>
      <c r="E30" s="4" t="str">
        <f>IFERROR((VLOOKUP(A30,'Food Database'!$A$2:$E$105,4,FALSE) * B30) / 100, "")</f>
        <v/>
      </c>
      <c r="F30" s="4" t="str">
        <f>IFERROR((VLOOKUP(A30,'Food Database'!$A$2:$E$105,5,FALSE) * B30) / 100, "")</f>
        <v/>
      </c>
    </row>
    <row r="31" spans="1:6" x14ac:dyDescent="0.3">
      <c r="A31" s="3"/>
      <c r="C31" s="4" t="str">
        <f>IFERROR((VLOOKUP(A31,'Food Database'!$A$2:$E$105,2,FALSE) * B31) / 100, "")</f>
        <v/>
      </c>
      <c r="D31" s="4" t="str">
        <f>IFERROR((VLOOKUP(A31,'Food Database'!$A$2:$E$105,3,FALSE) * B31) / 100, "")</f>
        <v/>
      </c>
      <c r="E31" s="4" t="str">
        <f>IFERROR((VLOOKUP(A31,'Food Database'!$A$2:$E$105,4,FALSE) * B31) / 100, "")</f>
        <v/>
      </c>
      <c r="F31" s="4" t="str">
        <f>IFERROR((VLOOKUP(A31,'Food Database'!$A$2:$E$105,5,FALSE) * B31) / 100, "")</f>
        <v/>
      </c>
    </row>
    <row r="32" spans="1:6" x14ac:dyDescent="0.3">
      <c r="A32" s="3"/>
      <c r="C32" s="4" t="str">
        <f>IFERROR((VLOOKUP(A32,'Food Database'!$A$2:$E$105,2,FALSE) * B32) / 100, "")</f>
        <v/>
      </c>
      <c r="D32" s="4" t="str">
        <f>IFERROR((VLOOKUP(A32,'Food Database'!$A$2:$E$105,3,FALSE) * B32) / 100, "")</f>
        <v/>
      </c>
      <c r="E32" s="4" t="str">
        <f>IFERROR((VLOOKUP(A32,'Food Database'!$A$2:$E$105,4,FALSE) * B32) / 100, "")</f>
        <v/>
      </c>
      <c r="F32" s="4" t="str">
        <f>IFERROR((VLOOKUP(A32,'Food Database'!$A$2:$E$105,5,FALSE) * B32) / 100, "")</f>
        <v/>
      </c>
    </row>
    <row r="33" spans="1:6" x14ac:dyDescent="0.3">
      <c r="A33" s="3"/>
      <c r="C33" s="4" t="str">
        <f>IFERROR((VLOOKUP(A33,'Food Database'!$A$2:$E$105,2,FALSE) * B33) / 100, "")</f>
        <v/>
      </c>
      <c r="D33" s="4" t="str">
        <f>IFERROR((VLOOKUP(A33,'Food Database'!$A$2:$E$105,3,FALSE) * B33) / 100, "")</f>
        <v/>
      </c>
      <c r="E33" s="4" t="str">
        <f>IFERROR((VLOOKUP(A33,'Food Database'!$A$2:$E$105,4,FALSE) * B33) / 100, "")</f>
        <v/>
      </c>
      <c r="F33" s="4" t="str">
        <f>IFERROR((VLOOKUP(A33,'Food Database'!$A$2:$E$105,5,FALSE) * B33) / 100, "")</f>
        <v/>
      </c>
    </row>
    <row r="34" spans="1:6" x14ac:dyDescent="0.3">
      <c r="A34" s="3"/>
      <c r="C34" s="4" t="str">
        <f>IFERROR((VLOOKUP(A34,'Food Database'!$A$2:$E$105,2,FALSE) * B34) / 100, "")</f>
        <v/>
      </c>
      <c r="D34" s="4" t="str">
        <f>IFERROR((VLOOKUP(A34,'Food Database'!$A$2:$E$105,3,FALSE) * B34) / 100, "")</f>
        <v/>
      </c>
      <c r="E34" s="4" t="str">
        <f>IFERROR((VLOOKUP(A34,'Food Database'!$A$2:$E$105,4,FALSE) * B34) / 100, "")</f>
        <v/>
      </c>
      <c r="F34" s="4" t="str">
        <f>IFERROR((VLOOKUP(A34,'Food Database'!$A$2:$E$105,5,FALSE) * B34) / 100, "")</f>
        <v/>
      </c>
    </row>
    <row r="35" spans="1:6" x14ac:dyDescent="0.3">
      <c r="A35" s="3"/>
      <c r="C35" s="4" t="str">
        <f>IFERROR((VLOOKUP(A35,'Food Database'!$A$2:$E$105,2,FALSE) * B35) / 100, "")</f>
        <v/>
      </c>
      <c r="D35" s="4" t="str">
        <f>IFERROR((VLOOKUP(A35,'Food Database'!$A$2:$E$105,3,FALSE) * B35) / 100, "")</f>
        <v/>
      </c>
      <c r="E35" s="4" t="str">
        <f>IFERROR((VLOOKUP(A35,'Food Database'!$A$2:$E$105,4,FALSE) * B35) / 100, "")</f>
        <v/>
      </c>
      <c r="F35" s="4" t="str">
        <f>IFERROR((VLOOKUP(A35,'Food Database'!$A$2:$E$105,5,FALSE) * B35) / 100, "")</f>
        <v/>
      </c>
    </row>
    <row r="36" spans="1:6" x14ac:dyDescent="0.3">
      <c r="A36" s="3"/>
      <c r="C36" s="4" t="str">
        <f>IFERROR((VLOOKUP(A36,'Food Database'!$A$2:$E$105,2,FALSE) * B36) / 100, "")</f>
        <v/>
      </c>
      <c r="D36" s="4" t="str">
        <f>IFERROR((VLOOKUP(A36,'Food Database'!$A$2:$E$105,3,FALSE) * B36) / 100, "")</f>
        <v/>
      </c>
      <c r="E36" s="4" t="str">
        <f>IFERROR((VLOOKUP(A36,'Food Database'!$A$2:$E$105,4,FALSE) * B36) / 100, "")</f>
        <v/>
      </c>
      <c r="F36" s="4" t="str">
        <f>IFERROR((VLOOKUP(A36,'Food Database'!$A$2:$E$105,5,FALSE) * B36) / 100, "")</f>
        <v/>
      </c>
    </row>
    <row r="37" spans="1:6" x14ac:dyDescent="0.3">
      <c r="A37" s="3"/>
      <c r="C37" s="4" t="str">
        <f>IFERROR((VLOOKUP(A37,'Food Database'!$A$2:$E$105,2,FALSE) * B37) / 100, "")</f>
        <v/>
      </c>
      <c r="D37" s="4" t="str">
        <f>IFERROR((VLOOKUP(A37,'Food Database'!$A$2:$E$105,3,FALSE) * B37) / 100, "")</f>
        <v/>
      </c>
      <c r="E37" s="4" t="str">
        <f>IFERROR((VLOOKUP(A37,'Food Database'!$A$2:$E$105,4,FALSE) * B37) / 100, "")</f>
        <v/>
      </c>
      <c r="F37" s="4" t="str">
        <f>IFERROR((VLOOKUP(A37,'Food Database'!$A$2:$E$105,5,FALSE) * B37) / 100, "")</f>
        <v/>
      </c>
    </row>
    <row r="38" spans="1:6" x14ac:dyDescent="0.3">
      <c r="A38" s="3"/>
      <c r="C38" s="4" t="str">
        <f>IFERROR((VLOOKUP(A38,'Food Database'!$A$2:$E$105,2,FALSE) * B38) / 100, "")</f>
        <v/>
      </c>
      <c r="D38" s="4" t="str">
        <f>IFERROR((VLOOKUP(A38,'Food Database'!$A$2:$E$105,3,FALSE) * B38) / 100, "")</f>
        <v/>
      </c>
      <c r="E38" s="4" t="str">
        <f>IFERROR((VLOOKUP(A38,'Food Database'!$A$2:$E$105,4,FALSE) * B38) / 100, "")</f>
        <v/>
      </c>
      <c r="F38" s="4" t="str">
        <f>IFERROR((VLOOKUP(A38,'Food Database'!$A$2:$E$105,5,FALSE) * B38) / 100, "")</f>
        <v/>
      </c>
    </row>
    <row r="39" spans="1:6" x14ac:dyDescent="0.3">
      <c r="A39" s="3"/>
      <c r="C39" s="4" t="str">
        <f>IFERROR((VLOOKUP(A39,'Food Database'!$A$2:$E$105,2,FALSE) * B39) / 100, "")</f>
        <v/>
      </c>
      <c r="D39" s="4" t="str">
        <f>IFERROR((VLOOKUP(A39,'Food Database'!$A$2:$E$105,3,FALSE) * B39) / 100, "")</f>
        <v/>
      </c>
      <c r="E39" s="4" t="str">
        <f>IFERROR((VLOOKUP(A39,'Food Database'!$A$2:$E$105,4,FALSE) * B39) / 100, "")</f>
        <v/>
      </c>
      <c r="F39" s="4" t="str">
        <f>IFERROR((VLOOKUP(A39,'Food Database'!$A$2:$E$105,5,FALSE) * B39) / 100, "")</f>
        <v/>
      </c>
    </row>
    <row r="40" spans="1:6" x14ac:dyDescent="0.3">
      <c r="A40" s="3"/>
      <c r="C40" s="4" t="str">
        <f>IFERROR((VLOOKUP(A40,'Food Database'!$A$2:$E$105,2,FALSE) * B40) / 100, "")</f>
        <v/>
      </c>
      <c r="D40" s="4" t="str">
        <f>IFERROR((VLOOKUP(A40,'Food Database'!$A$2:$E$105,3,FALSE) * B40) / 100, "")</f>
        <v/>
      </c>
      <c r="E40" s="4" t="str">
        <f>IFERROR((VLOOKUP(A40,'Food Database'!$A$2:$E$105,4,FALSE) * B40) / 100, "")</f>
        <v/>
      </c>
      <c r="F40" s="4" t="str">
        <f>IFERROR((VLOOKUP(A40,'Food Database'!$A$2:$E$105,5,FALSE) * B40) / 100, "")</f>
        <v/>
      </c>
    </row>
    <row r="41" spans="1:6" x14ac:dyDescent="0.3">
      <c r="A41" s="3"/>
      <c r="C41" s="4" t="str">
        <f>IFERROR((VLOOKUP(A41,'Food Database'!$A$2:$E$105,2,FALSE) * B41) / 100, "")</f>
        <v/>
      </c>
      <c r="D41" s="4" t="str">
        <f>IFERROR((VLOOKUP(A41,'Food Database'!$A$2:$E$105,3,FALSE) * B41) / 100, "")</f>
        <v/>
      </c>
      <c r="E41" s="4" t="str">
        <f>IFERROR((VLOOKUP(A41,'Food Database'!$A$2:$E$105,4,FALSE) * B41) / 100, "")</f>
        <v/>
      </c>
      <c r="F41" s="4" t="str">
        <f>IFERROR((VLOOKUP(A41,'Food Database'!$A$2:$E$105,5,FALSE) * B41) / 100, "")</f>
        <v/>
      </c>
    </row>
    <row r="42" spans="1:6" x14ac:dyDescent="0.3">
      <c r="A42" s="3"/>
      <c r="C42" s="4" t="str">
        <f>IFERROR((VLOOKUP(A42,'Food Database'!$A$2:$E$105,2,FALSE) * B42) / 100, "")</f>
        <v/>
      </c>
      <c r="D42" s="4" t="str">
        <f>IFERROR((VLOOKUP(A42,'Food Database'!$A$2:$E$105,3,FALSE) * B42) / 100, "")</f>
        <v/>
      </c>
      <c r="E42" s="4" t="str">
        <f>IFERROR((VLOOKUP(A42,'Food Database'!$A$2:$E$105,4,FALSE) * B42) / 100, "")</f>
        <v/>
      </c>
      <c r="F42" s="4" t="str">
        <f>IFERROR((VLOOKUP(A42,'Food Database'!$A$2:$E$105,5,FALSE) * B42) / 100, "")</f>
        <v/>
      </c>
    </row>
    <row r="43" spans="1:6" x14ac:dyDescent="0.3">
      <c r="A43" s="3"/>
      <c r="C43" s="4" t="str">
        <f>IFERROR((VLOOKUP(A43,'Food Database'!$A$2:$E$105,2,FALSE) * B43) / 100, "")</f>
        <v/>
      </c>
      <c r="D43" s="4" t="str">
        <f>IFERROR((VLOOKUP(A43,'Food Database'!$A$2:$E$105,3,FALSE) * B43) / 100, "")</f>
        <v/>
      </c>
      <c r="E43" s="4" t="str">
        <f>IFERROR((VLOOKUP(A43,'Food Database'!$A$2:$E$105,4,FALSE) * B43) / 100, "")</f>
        <v/>
      </c>
      <c r="F43" s="4" t="str">
        <f>IFERROR((VLOOKUP(A43,'Food Database'!$A$2:$E$105,5,FALSE) * B43) / 100, "")</f>
        <v/>
      </c>
    </row>
    <row r="44" spans="1:6" x14ac:dyDescent="0.3">
      <c r="A44" s="3"/>
      <c r="C44" s="4" t="str">
        <f>IFERROR((VLOOKUP(A44,'Food Database'!$A$2:$E$105,2,FALSE) * B44) / 100, "")</f>
        <v/>
      </c>
      <c r="D44" s="4" t="str">
        <f>IFERROR((VLOOKUP(A44,'Food Database'!$A$2:$E$105,3,FALSE) * B44) / 100, "")</f>
        <v/>
      </c>
      <c r="E44" s="4" t="str">
        <f>IFERROR((VLOOKUP(A44,'Food Database'!$A$2:$E$105,4,FALSE) * B44) / 100, "")</f>
        <v/>
      </c>
      <c r="F44" s="4" t="str">
        <f>IFERROR((VLOOKUP(A44,'Food Database'!$A$2:$E$105,5,FALSE) * B44) / 100, "")</f>
        <v/>
      </c>
    </row>
    <row r="45" spans="1:6" x14ac:dyDescent="0.3">
      <c r="A45" s="3"/>
      <c r="C45" s="4" t="str">
        <f>IFERROR((VLOOKUP(A45,'Food Database'!$A$2:$E$105,2,FALSE) * B45) / 100, "")</f>
        <v/>
      </c>
      <c r="D45" s="4" t="str">
        <f>IFERROR((VLOOKUP(A45,'Food Database'!$A$2:$E$105,3,FALSE) * B45) / 100, "")</f>
        <v/>
      </c>
      <c r="E45" s="4" t="str">
        <f>IFERROR((VLOOKUP(A45,'Food Database'!$A$2:$E$105,4,FALSE) * B45) / 100, "")</f>
        <v/>
      </c>
      <c r="F45" s="4" t="str">
        <f>IFERROR((VLOOKUP(A45,'Food Database'!$A$2:$E$105,5,FALSE) * B45) / 100, "")</f>
        <v/>
      </c>
    </row>
    <row r="46" spans="1:6" x14ac:dyDescent="0.3">
      <c r="A46" s="3"/>
      <c r="C46" s="4" t="str">
        <f>IFERROR((VLOOKUP(A46,'Food Database'!$A$2:$E$105,2,FALSE) * B46) / 100, "")</f>
        <v/>
      </c>
      <c r="D46" s="4" t="str">
        <f>IFERROR((VLOOKUP(A46,'Food Database'!$A$2:$E$105,3,FALSE) * B46) / 100, "")</f>
        <v/>
      </c>
      <c r="E46" s="4" t="str">
        <f>IFERROR((VLOOKUP(A46,'Food Database'!$A$2:$E$105,4,FALSE) * B46) / 100, "")</f>
        <v/>
      </c>
      <c r="F46" s="4" t="str">
        <f>IFERROR((VLOOKUP(A46,'Food Database'!$A$2:$E$105,5,FALSE) * B46) / 100, "")</f>
        <v/>
      </c>
    </row>
    <row r="47" spans="1:6" x14ac:dyDescent="0.3">
      <c r="A47" s="3"/>
      <c r="C47" s="4" t="str">
        <f>IFERROR((VLOOKUP(A47,'Food Database'!$A$2:$E$105,2,FALSE) * B47) / 100, "")</f>
        <v/>
      </c>
      <c r="D47" s="4" t="str">
        <f>IFERROR((VLOOKUP(A47,'Food Database'!$A$2:$E$105,3,FALSE) * B47) / 100, "")</f>
        <v/>
      </c>
      <c r="E47" s="4" t="str">
        <f>IFERROR((VLOOKUP(A47,'Food Database'!$A$2:$E$105,4,FALSE) * B47) / 100, "")</f>
        <v/>
      </c>
      <c r="F47" s="4" t="str">
        <f>IFERROR((VLOOKUP(A47,'Food Database'!$A$2:$E$105,5,FALSE) * B47) / 100, "")</f>
        <v/>
      </c>
    </row>
    <row r="48" spans="1:6" x14ac:dyDescent="0.3">
      <c r="A48" s="3"/>
      <c r="C48" s="4" t="str">
        <f>IFERROR((VLOOKUP(A48,'Food Database'!$A$2:$E$105,2,FALSE) * B48) / 100, "")</f>
        <v/>
      </c>
      <c r="D48" s="4" t="str">
        <f>IFERROR((VLOOKUP(A48,'Food Database'!$A$2:$E$105,3,FALSE) * B48) / 100, "")</f>
        <v/>
      </c>
      <c r="E48" s="4" t="str">
        <f>IFERROR((VLOOKUP(A48,'Food Database'!$A$2:$E$105,4,FALSE) * B48) / 100, "")</f>
        <v/>
      </c>
      <c r="F48" s="4" t="str">
        <f>IFERROR((VLOOKUP(A48,'Food Database'!$A$2:$E$105,5,FALSE) * B48) / 100, "")</f>
        <v/>
      </c>
    </row>
    <row r="49" spans="1:6" x14ac:dyDescent="0.3">
      <c r="A49" s="3"/>
      <c r="C49" s="4" t="str">
        <f>IFERROR((VLOOKUP(A49,'Food Database'!$A$2:$E$105,2,FALSE) * B49) / 100, "")</f>
        <v/>
      </c>
      <c r="D49" s="4" t="str">
        <f>IFERROR((VLOOKUP(A49,'Food Database'!$A$2:$E$105,3,FALSE) * B49) / 100, "")</f>
        <v/>
      </c>
      <c r="E49" s="4" t="str">
        <f>IFERROR((VLOOKUP(A49,'Food Database'!$A$2:$E$105,4,FALSE) * B49) / 100, "")</f>
        <v/>
      </c>
      <c r="F49" s="4" t="str">
        <f>IFERROR((VLOOKUP(A49,'Food Database'!$A$2:$E$105,5,FALSE) * B49) / 100, "")</f>
        <v/>
      </c>
    </row>
    <row r="50" spans="1:6" x14ac:dyDescent="0.3">
      <c r="A50" s="3"/>
      <c r="C50" s="4" t="str">
        <f>IFERROR((VLOOKUP(A50,'Food Database'!$A$2:$E$105,2,FALSE) * B50) / 100, "")</f>
        <v/>
      </c>
      <c r="D50" s="4" t="str">
        <f>IFERROR((VLOOKUP(A50,'Food Database'!$A$2:$E$105,3,FALSE) * B50) / 100, "")</f>
        <v/>
      </c>
      <c r="E50" s="4" t="str">
        <f>IFERROR((VLOOKUP(A50,'Food Database'!$A$2:$E$105,4,FALSE) * B50) / 100, "")</f>
        <v/>
      </c>
      <c r="F50" s="4" t="str">
        <f>IFERROR((VLOOKUP(A50,'Food Database'!$A$2:$E$105,5,FALSE) * B50) / 100, "")</f>
        <v/>
      </c>
    </row>
    <row r="51" spans="1:6" x14ac:dyDescent="0.3">
      <c r="A51" s="3"/>
      <c r="C51" s="4" t="str">
        <f>IFERROR((VLOOKUP(A51,'Food Database'!$A$2:$E$105,2,FALSE) * B51) / 100, "")</f>
        <v/>
      </c>
      <c r="D51" s="4" t="str">
        <f>IFERROR((VLOOKUP(A51,'Food Database'!$A$2:$E$105,3,FALSE) * B51) / 100, "")</f>
        <v/>
      </c>
      <c r="E51" s="4" t="str">
        <f>IFERROR((VLOOKUP(A51,'Food Database'!$A$2:$E$105,4,FALSE) * B51) / 100, "")</f>
        <v/>
      </c>
      <c r="F51" s="4" t="str">
        <f>IFERROR((VLOOKUP(A51,'Food Database'!$A$2:$E$105,5,FALSE) * B51) / 100, "")</f>
        <v/>
      </c>
    </row>
    <row r="52" spans="1:6" x14ac:dyDescent="0.3">
      <c r="A52" s="3"/>
      <c r="C52" s="4" t="str">
        <f>IFERROR((VLOOKUP(A52,'Food Database'!$A$2:$E$105,2,FALSE) * B52) / 100, "")</f>
        <v/>
      </c>
      <c r="D52" s="4" t="str">
        <f>IFERROR((VLOOKUP(A52,'Food Database'!$A$2:$E$105,3,FALSE) * B52) / 100, "")</f>
        <v/>
      </c>
      <c r="E52" s="4" t="str">
        <f>IFERROR((VLOOKUP(A52,'Food Database'!$A$2:$E$105,4,FALSE) * B52) / 100, "")</f>
        <v/>
      </c>
      <c r="F52" s="4" t="str">
        <f>IFERROR((VLOOKUP(A52,'Food Database'!$A$2:$E$105,5,FALSE) * B52) / 100, "")</f>
        <v/>
      </c>
    </row>
    <row r="53" spans="1:6" x14ac:dyDescent="0.3">
      <c r="A53" s="3"/>
      <c r="C53" s="4" t="str">
        <f>IFERROR((VLOOKUP(A53,'Food Database'!$A$2:$E$105,2,FALSE) * B53) / 100, "")</f>
        <v/>
      </c>
      <c r="D53" s="4" t="str">
        <f>IFERROR((VLOOKUP(A53,'Food Database'!$A$2:$E$105,3,FALSE) * B53) / 100, "")</f>
        <v/>
      </c>
      <c r="E53" s="4" t="str">
        <f>IFERROR((VLOOKUP(A53,'Food Database'!$A$2:$E$105,4,FALSE) * B53) / 100, "")</f>
        <v/>
      </c>
      <c r="F53" s="4" t="str">
        <f>IFERROR((VLOOKUP(A53,'Food Database'!$A$2:$E$105,5,FALSE) * B53) / 100, "")</f>
        <v/>
      </c>
    </row>
    <row r="54" spans="1:6" x14ac:dyDescent="0.3">
      <c r="A54" s="3"/>
      <c r="C54" s="4" t="str">
        <f>IFERROR((VLOOKUP(A54,'Food Database'!$A$2:$E$105,2,FALSE) * B54) / 100, "")</f>
        <v/>
      </c>
      <c r="D54" s="4" t="str">
        <f>IFERROR((VLOOKUP(A54,'Food Database'!$A$2:$E$105,3,FALSE) * B54) / 100, "")</f>
        <v/>
      </c>
      <c r="E54" s="4" t="str">
        <f>IFERROR((VLOOKUP(A54,'Food Database'!$A$2:$E$105,4,FALSE) * B54) / 100, "")</f>
        <v/>
      </c>
      <c r="F54" s="4" t="str">
        <f>IFERROR((VLOOKUP(A54,'Food Database'!$A$2:$E$105,5,FALSE) * B54) / 100, "")</f>
        <v/>
      </c>
    </row>
    <row r="55" spans="1:6" x14ac:dyDescent="0.3">
      <c r="A55" s="3"/>
      <c r="C55" s="4" t="str">
        <f>IFERROR((VLOOKUP(A55,'Food Database'!$A$2:$E$105,2,FALSE) * B55) / 100, "")</f>
        <v/>
      </c>
      <c r="D55" s="4" t="str">
        <f>IFERROR((VLOOKUP(A55,'Food Database'!$A$2:$E$105,3,FALSE) * B55) / 100, "")</f>
        <v/>
      </c>
      <c r="E55" s="4" t="str">
        <f>IFERROR((VLOOKUP(A55,'Food Database'!$A$2:$E$105,4,FALSE) * B55) / 100, "")</f>
        <v/>
      </c>
      <c r="F55" s="4" t="str">
        <f>IFERROR((VLOOKUP(A55,'Food Database'!$A$2:$E$105,5,FALSE) * B55) / 100, "")</f>
        <v/>
      </c>
    </row>
    <row r="56" spans="1:6" x14ac:dyDescent="0.3">
      <c r="A56" s="3"/>
      <c r="C56" s="4" t="str">
        <f>IFERROR((VLOOKUP(A56,'Food Database'!$A$2:$E$105,2,FALSE) * B56) / 100, "")</f>
        <v/>
      </c>
      <c r="D56" s="4" t="str">
        <f>IFERROR((VLOOKUP(A56,'Food Database'!$A$2:$E$105,3,FALSE) * B56) / 100, "")</f>
        <v/>
      </c>
      <c r="E56" s="4" t="str">
        <f>IFERROR((VLOOKUP(A56,'Food Database'!$A$2:$E$105,4,FALSE) * B56) / 100, "")</f>
        <v/>
      </c>
      <c r="F56" s="4" t="str">
        <f>IFERROR((VLOOKUP(A56,'Food Database'!$A$2:$E$105,5,FALSE) * B56) / 100, "")</f>
        <v/>
      </c>
    </row>
    <row r="57" spans="1:6" x14ac:dyDescent="0.3">
      <c r="A57" s="3"/>
      <c r="C57" s="4" t="str">
        <f>IFERROR((VLOOKUP(A57,'Food Database'!$A$2:$E$105,2,FALSE) * B57) / 100, "")</f>
        <v/>
      </c>
      <c r="D57" s="4" t="str">
        <f>IFERROR((VLOOKUP(A57,'Food Database'!$A$2:$E$105,3,FALSE) * B57) / 100, "")</f>
        <v/>
      </c>
      <c r="E57" s="4" t="str">
        <f>IFERROR((VLOOKUP(A57,'Food Database'!$A$2:$E$105,4,FALSE) * B57) / 100, "")</f>
        <v/>
      </c>
      <c r="F57" s="4" t="str">
        <f>IFERROR((VLOOKUP(A57,'Food Database'!$A$2:$E$105,5,FALSE) * B57) / 100, "")</f>
        <v/>
      </c>
    </row>
    <row r="58" spans="1:6" x14ac:dyDescent="0.3">
      <c r="A58" s="3"/>
      <c r="C58" s="4" t="str">
        <f>IFERROR((VLOOKUP(A58,'Food Database'!$A$2:$E$105,2,FALSE) * B58) / 100, "")</f>
        <v/>
      </c>
      <c r="D58" s="4" t="str">
        <f>IFERROR((VLOOKUP(A58,'Food Database'!$A$2:$E$105,3,FALSE) * B58) / 100, "")</f>
        <v/>
      </c>
      <c r="E58" s="4" t="str">
        <f>IFERROR((VLOOKUP(A58,'Food Database'!$A$2:$E$105,4,FALSE) * B58) / 100, "")</f>
        <v/>
      </c>
      <c r="F58" s="4" t="str">
        <f>IFERROR((VLOOKUP(A58,'Food Database'!$A$2:$E$105,5,FALSE) * B58) / 100, "")</f>
        <v/>
      </c>
    </row>
    <row r="59" spans="1:6" x14ac:dyDescent="0.3">
      <c r="A59" s="3"/>
      <c r="C59" s="4" t="str">
        <f>IFERROR((VLOOKUP(A59,'Food Database'!$A$2:$E$105,2,FALSE) * B59) / 100, "")</f>
        <v/>
      </c>
      <c r="D59" s="4" t="str">
        <f>IFERROR((VLOOKUP(A59,'Food Database'!$A$2:$E$105,3,FALSE) * B59) / 100, "")</f>
        <v/>
      </c>
      <c r="E59" s="4" t="str">
        <f>IFERROR((VLOOKUP(A59,'Food Database'!$A$2:$E$105,4,FALSE) * B59) / 100, "")</f>
        <v/>
      </c>
      <c r="F59" s="4" t="str">
        <f>IFERROR((VLOOKUP(A59,'Food Database'!$A$2:$E$105,5,FALSE) * B59) / 100, "")</f>
        <v/>
      </c>
    </row>
    <row r="60" spans="1:6" x14ac:dyDescent="0.3">
      <c r="A60" s="3"/>
      <c r="C60" s="4" t="str">
        <f>IFERROR((VLOOKUP(A60,'Food Database'!$A$2:$E$105,2,FALSE) * B60) / 100, "")</f>
        <v/>
      </c>
      <c r="D60" s="4" t="str">
        <f>IFERROR((VLOOKUP(A60,'Food Database'!$A$2:$E$105,3,FALSE) * B60) / 100, "")</f>
        <v/>
      </c>
      <c r="E60" s="4" t="str">
        <f>IFERROR((VLOOKUP(A60,'Food Database'!$A$2:$E$105,4,FALSE) * B60) / 100, "")</f>
        <v/>
      </c>
      <c r="F60" s="4" t="str">
        <f>IFERROR((VLOOKUP(A60,'Food Database'!$A$2:$E$105,5,FALSE) * B60) / 100, "")</f>
        <v/>
      </c>
    </row>
    <row r="61" spans="1:6" x14ac:dyDescent="0.3">
      <c r="A61" s="3"/>
      <c r="C61" s="4" t="str">
        <f>IFERROR((VLOOKUP(A61,'Food Database'!$A$2:$E$105,2,FALSE) * B61) / 100, "")</f>
        <v/>
      </c>
      <c r="D61" s="4" t="str">
        <f>IFERROR((VLOOKUP(A61,'Food Database'!$A$2:$E$105,3,FALSE) * B61) / 100, "")</f>
        <v/>
      </c>
      <c r="E61" s="4" t="str">
        <f>IFERROR((VLOOKUP(A61,'Food Database'!$A$2:$E$105,4,FALSE) * B61) / 100, "")</f>
        <v/>
      </c>
      <c r="F61" s="4" t="str">
        <f>IFERROR((VLOOKUP(A61,'Food Database'!$A$2:$E$105,5,FALSE) * B61) / 100, "")</f>
        <v/>
      </c>
    </row>
    <row r="62" spans="1:6" x14ac:dyDescent="0.3">
      <c r="A62" s="3"/>
      <c r="C62" s="4" t="str">
        <f>IFERROR((VLOOKUP(A62,'Food Database'!$A$2:$E$105,2,FALSE) * B62) / 100, "")</f>
        <v/>
      </c>
      <c r="D62" s="4" t="str">
        <f>IFERROR((VLOOKUP(A62,'Food Database'!$A$2:$E$105,3,FALSE) * B62) / 100, "")</f>
        <v/>
      </c>
      <c r="E62" s="4" t="str">
        <f>IFERROR((VLOOKUP(A62,'Food Database'!$A$2:$E$105,4,FALSE) * B62) / 100, "")</f>
        <v/>
      </c>
      <c r="F62" s="4" t="str">
        <f>IFERROR((VLOOKUP(A62,'Food Database'!$A$2:$E$105,5,FALSE) * B62) / 100, "")</f>
        <v/>
      </c>
    </row>
    <row r="63" spans="1:6" x14ac:dyDescent="0.3">
      <c r="A63" s="3"/>
      <c r="C63" s="4" t="str">
        <f>IFERROR((VLOOKUP(A63,'Food Database'!$A$2:$E$105,2,FALSE) * B63) / 100, "")</f>
        <v/>
      </c>
      <c r="D63" s="4" t="str">
        <f>IFERROR((VLOOKUP(A63,'Food Database'!$A$2:$E$105,3,FALSE) * B63) / 100, "")</f>
        <v/>
      </c>
      <c r="E63" s="4" t="str">
        <f>IFERROR((VLOOKUP(A63,'Food Database'!$A$2:$E$105,4,FALSE) * B63) / 100, "")</f>
        <v/>
      </c>
      <c r="F63" s="4" t="str">
        <f>IFERROR((VLOOKUP(A63,'Food Database'!$A$2:$E$105,5,FALSE) * B63) / 100, "")</f>
        <v/>
      </c>
    </row>
    <row r="64" spans="1:6" x14ac:dyDescent="0.3">
      <c r="A64" s="3"/>
      <c r="C64" s="4" t="str">
        <f>IFERROR((VLOOKUP(A64,'Food Database'!$A$2:$E$105,2,FALSE) * B64) / 100, "")</f>
        <v/>
      </c>
      <c r="D64" s="4" t="str">
        <f>IFERROR((VLOOKUP(A64,'Food Database'!$A$2:$E$105,3,FALSE) * B64) / 100, "")</f>
        <v/>
      </c>
      <c r="E64" s="4" t="str">
        <f>IFERROR((VLOOKUP(A64,'Food Database'!$A$2:$E$105,4,FALSE) * B64) / 100, "")</f>
        <v/>
      </c>
      <c r="F64" s="4" t="str">
        <f>IFERROR((VLOOKUP(A64,'Food Database'!$A$2:$E$105,5,FALSE) * B64) / 100, "")</f>
        <v/>
      </c>
    </row>
    <row r="65" spans="1:6" x14ac:dyDescent="0.3">
      <c r="A65" s="3"/>
      <c r="C65" s="4" t="str">
        <f>IFERROR((VLOOKUP(A65,'Food Database'!$A$2:$E$105,2,FALSE) * B65) / 100, "")</f>
        <v/>
      </c>
      <c r="D65" s="4" t="str">
        <f>IFERROR((VLOOKUP(A65,'Food Database'!$A$2:$E$105,3,FALSE) * B65) / 100, "")</f>
        <v/>
      </c>
      <c r="E65" s="4" t="str">
        <f>IFERROR((VLOOKUP(A65,'Food Database'!$A$2:$E$105,4,FALSE) * B65) / 100, "")</f>
        <v/>
      </c>
      <c r="F65" s="4" t="str">
        <f>IFERROR((VLOOKUP(A65,'Food Database'!$A$2:$E$105,5,FALSE) * B65) / 100, "")</f>
        <v/>
      </c>
    </row>
    <row r="66" spans="1:6" x14ac:dyDescent="0.3">
      <c r="A66" s="3"/>
      <c r="C66" s="4" t="str">
        <f>IFERROR((VLOOKUP(A66,'Food Database'!$A$2:$E$105,2,FALSE) * B66) / 100, "")</f>
        <v/>
      </c>
      <c r="D66" s="4" t="str">
        <f>IFERROR((VLOOKUP(A66,'Food Database'!$A$2:$E$105,3,FALSE) * B66) / 100, "")</f>
        <v/>
      </c>
      <c r="E66" s="4" t="str">
        <f>IFERROR((VLOOKUP(A66,'Food Database'!$A$2:$E$105,4,FALSE) * B66) / 100, "")</f>
        <v/>
      </c>
      <c r="F66" s="4" t="str">
        <f>IFERROR((VLOOKUP(A66,'Food Database'!$A$2:$E$105,5,FALSE) * B66) / 100, "")</f>
        <v/>
      </c>
    </row>
    <row r="67" spans="1:6" x14ac:dyDescent="0.3">
      <c r="A67" s="3"/>
      <c r="C67" s="4" t="str">
        <f>IFERROR((VLOOKUP(A67,'Food Database'!$A$2:$E$105,2,FALSE) * B67) / 100, "")</f>
        <v/>
      </c>
      <c r="D67" s="4" t="str">
        <f>IFERROR((VLOOKUP(A67,'Food Database'!$A$2:$E$105,3,FALSE) * B67) / 100, "")</f>
        <v/>
      </c>
      <c r="E67" s="4" t="str">
        <f>IFERROR((VLOOKUP(A67,'Food Database'!$A$2:$E$105,4,FALSE) * B67) / 100, "")</f>
        <v/>
      </c>
      <c r="F67" s="4" t="str">
        <f>IFERROR((VLOOKUP(A67,'Food Database'!$A$2:$E$105,5,FALSE) * B67) / 100, "")</f>
        <v/>
      </c>
    </row>
    <row r="68" spans="1:6" x14ac:dyDescent="0.3">
      <c r="A68" s="3"/>
      <c r="C68" s="4" t="str">
        <f>IFERROR((VLOOKUP(A68,'Food Database'!$A$2:$E$105,2,FALSE) * B68) / 100, "")</f>
        <v/>
      </c>
      <c r="D68" s="4" t="str">
        <f>IFERROR((VLOOKUP(A68,'Food Database'!$A$2:$E$105,3,FALSE) * B68) / 100, "")</f>
        <v/>
      </c>
      <c r="E68" s="4" t="str">
        <f>IFERROR((VLOOKUP(A68,'Food Database'!$A$2:$E$105,4,FALSE) * B68) / 100, "")</f>
        <v/>
      </c>
      <c r="F68" s="4" t="str">
        <f>IFERROR((VLOOKUP(A68,'Food Database'!$A$2:$E$105,5,FALSE) * B68) / 100, "")</f>
        <v/>
      </c>
    </row>
    <row r="69" spans="1:6" x14ac:dyDescent="0.3">
      <c r="A69" s="3"/>
      <c r="C69" s="4" t="str">
        <f>IFERROR((VLOOKUP(A69,'Food Database'!$A$2:$E$105,2,FALSE) * B69) / 100, "")</f>
        <v/>
      </c>
      <c r="D69" s="4" t="str">
        <f>IFERROR((VLOOKUP(A69,'Food Database'!$A$2:$E$105,3,FALSE) * B69) / 100, "")</f>
        <v/>
      </c>
      <c r="E69" s="4" t="str">
        <f>IFERROR((VLOOKUP(A69,'Food Database'!$A$2:$E$105,4,FALSE) * B69) / 100, "")</f>
        <v/>
      </c>
      <c r="F69" s="4" t="str">
        <f>IFERROR((VLOOKUP(A69,'Food Database'!$A$2:$E$105,5,FALSE) * B69) / 100, "")</f>
        <v/>
      </c>
    </row>
    <row r="70" spans="1:6" x14ac:dyDescent="0.3">
      <c r="A70" s="3"/>
      <c r="C70" s="4" t="str">
        <f>IFERROR((VLOOKUP(A70,'Food Database'!$A$2:$E$105,2,FALSE) * B70) / 100, "")</f>
        <v/>
      </c>
      <c r="D70" s="4" t="str">
        <f>IFERROR((VLOOKUP(A70,'Food Database'!$A$2:$E$105,3,FALSE) * B70) / 100, "")</f>
        <v/>
      </c>
      <c r="E70" s="4" t="str">
        <f>IFERROR((VLOOKUP(A70,'Food Database'!$A$2:$E$105,4,FALSE) * B70) / 100, "")</f>
        <v/>
      </c>
      <c r="F70" s="4" t="str">
        <f>IFERROR((VLOOKUP(A70,'Food Database'!$A$2:$E$105,5,FALSE) * B70) / 100, "")</f>
        <v/>
      </c>
    </row>
    <row r="71" spans="1:6" x14ac:dyDescent="0.3">
      <c r="A71" s="3"/>
      <c r="C71" s="4" t="str">
        <f>IFERROR((VLOOKUP(A71,'Food Database'!$A$2:$E$105,2,FALSE) * B71) / 100, "")</f>
        <v/>
      </c>
      <c r="D71" s="4" t="str">
        <f>IFERROR((VLOOKUP(A71,'Food Database'!$A$2:$E$105,3,FALSE) * B71) / 100, "")</f>
        <v/>
      </c>
      <c r="E71" s="4" t="str">
        <f>IFERROR((VLOOKUP(A71,'Food Database'!$A$2:$E$105,4,FALSE) * B71) / 100, "")</f>
        <v/>
      </c>
      <c r="F71" s="4" t="str">
        <f>IFERROR((VLOOKUP(A71,'Food Database'!$A$2:$E$105,5,FALSE) * B71) / 100, "")</f>
        <v/>
      </c>
    </row>
  </sheetData>
  <mergeCells count="1">
    <mergeCell ref="J8:N8"/>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DB6014DB-0FF8-4C36-A5BC-22AFB2264AA0}">
          <x14:formula1>
            <xm:f>'Food Database'!$A$3:$A$205</xm:f>
          </x14:formula1>
          <xm:sqref>A2:A71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Food Database</vt:lpstr>
      <vt:lpstr>Meal Tracker (Army)</vt:lpstr>
      <vt:lpstr>Meal Tracker (Normal)</vt:lpstr>
      <vt:lpstr>Meal Tracker - Nouran</vt:lpstr>
      <vt:lpstr>Trying to reduce cost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Dell</dc:creator>
  <cp:keywords/>
  <dc:description/>
  <cp:lastModifiedBy>Fahmy, Omar</cp:lastModifiedBy>
  <cp:revision/>
  <dcterms:created xsi:type="dcterms:W3CDTF">2015-06-05T18:17:20Z</dcterms:created>
  <dcterms:modified xsi:type="dcterms:W3CDTF">2026-01-30T22:36:58Z</dcterms:modified>
  <cp:category/>
  <cp:contentStatus/>
</cp:coreProperties>
</file>