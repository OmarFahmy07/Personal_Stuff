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Personal Stuff\Gym &amp; Health\My_Custom_Workout_Plan\"/>
    </mc:Choice>
  </mc:AlternateContent>
  <xr:revisionPtr revIDLastSave="0" documentId="13_ncr:1_{5B7C2501-1CE7-4A94-B619-9BBB6AC10AE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ercise Database" sheetId="1" r:id="rId1"/>
    <sheet name="Workout Tracker" sheetId="2" r:id="rId2"/>
    <sheet name="Workout Tracker (Army)" sheetId="3" r:id="rId3"/>
  </sheets>
  <definedNames>
    <definedName name="ExerciseList">'Exercise Database'!$A$2:$A$100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3" l="1"/>
  <c r="J100" i="3"/>
  <c r="I100" i="3"/>
  <c r="H100" i="3"/>
  <c r="G100" i="3"/>
  <c r="F100" i="3"/>
  <c r="E100" i="3"/>
  <c r="D100" i="3"/>
  <c r="C100" i="3"/>
  <c r="K99" i="3"/>
  <c r="J99" i="3"/>
  <c r="I99" i="3"/>
  <c r="H99" i="3"/>
  <c r="G99" i="3"/>
  <c r="F99" i="3"/>
  <c r="E99" i="3"/>
  <c r="D99" i="3"/>
  <c r="C99" i="3"/>
  <c r="K98" i="3"/>
  <c r="J98" i="3"/>
  <c r="I98" i="3"/>
  <c r="H98" i="3"/>
  <c r="G98" i="3"/>
  <c r="F98" i="3"/>
  <c r="E98" i="3"/>
  <c r="D98" i="3"/>
  <c r="C98" i="3"/>
  <c r="K97" i="3"/>
  <c r="J97" i="3"/>
  <c r="I97" i="3"/>
  <c r="H97" i="3"/>
  <c r="G97" i="3"/>
  <c r="F97" i="3"/>
  <c r="E97" i="3"/>
  <c r="D97" i="3"/>
  <c r="C97" i="3"/>
  <c r="K96" i="3"/>
  <c r="J96" i="3"/>
  <c r="I96" i="3"/>
  <c r="H96" i="3"/>
  <c r="G96" i="3"/>
  <c r="F96" i="3"/>
  <c r="E96" i="3"/>
  <c r="D96" i="3"/>
  <c r="C96" i="3"/>
  <c r="K95" i="3"/>
  <c r="J95" i="3"/>
  <c r="I95" i="3"/>
  <c r="H95" i="3"/>
  <c r="G95" i="3"/>
  <c r="F95" i="3"/>
  <c r="E95" i="3"/>
  <c r="D95" i="3"/>
  <c r="C95" i="3"/>
  <c r="K94" i="3"/>
  <c r="J94" i="3"/>
  <c r="I94" i="3"/>
  <c r="H94" i="3"/>
  <c r="G94" i="3"/>
  <c r="F94" i="3"/>
  <c r="E94" i="3"/>
  <c r="D94" i="3"/>
  <c r="C94" i="3"/>
  <c r="K93" i="3"/>
  <c r="J93" i="3"/>
  <c r="I93" i="3"/>
  <c r="H93" i="3"/>
  <c r="G93" i="3"/>
  <c r="F93" i="3"/>
  <c r="E93" i="3"/>
  <c r="D93" i="3"/>
  <c r="C93" i="3"/>
  <c r="K92" i="3"/>
  <c r="J92" i="3"/>
  <c r="I92" i="3"/>
  <c r="H92" i="3"/>
  <c r="G92" i="3"/>
  <c r="F92" i="3"/>
  <c r="E92" i="3"/>
  <c r="D92" i="3"/>
  <c r="C92" i="3"/>
  <c r="K91" i="3"/>
  <c r="J91" i="3"/>
  <c r="I91" i="3"/>
  <c r="H91" i="3"/>
  <c r="G91" i="3"/>
  <c r="F91" i="3"/>
  <c r="E91" i="3"/>
  <c r="D91" i="3"/>
  <c r="C91" i="3"/>
  <c r="K90" i="3"/>
  <c r="J90" i="3"/>
  <c r="I90" i="3"/>
  <c r="H90" i="3"/>
  <c r="G90" i="3"/>
  <c r="F90" i="3"/>
  <c r="E90" i="3"/>
  <c r="D90" i="3"/>
  <c r="C90" i="3"/>
  <c r="K89" i="3"/>
  <c r="J89" i="3"/>
  <c r="I89" i="3"/>
  <c r="H89" i="3"/>
  <c r="G89" i="3"/>
  <c r="F89" i="3"/>
  <c r="E89" i="3"/>
  <c r="D89" i="3"/>
  <c r="C89" i="3"/>
  <c r="K88" i="3"/>
  <c r="J88" i="3"/>
  <c r="I88" i="3"/>
  <c r="H88" i="3"/>
  <c r="G88" i="3"/>
  <c r="F88" i="3"/>
  <c r="E88" i="3"/>
  <c r="D88" i="3"/>
  <c r="C88" i="3"/>
  <c r="K87" i="3"/>
  <c r="J87" i="3"/>
  <c r="I87" i="3"/>
  <c r="H87" i="3"/>
  <c r="G87" i="3"/>
  <c r="F87" i="3"/>
  <c r="E87" i="3"/>
  <c r="D87" i="3"/>
  <c r="C87" i="3"/>
  <c r="K86" i="3"/>
  <c r="J86" i="3"/>
  <c r="I86" i="3"/>
  <c r="H86" i="3"/>
  <c r="G86" i="3"/>
  <c r="F86" i="3"/>
  <c r="E86" i="3"/>
  <c r="D86" i="3"/>
  <c r="C86" i="3"/>
  <c r="K85" i="3"/>
  <c r="J85" i="3"/>
  <c r="I85" i="3"/>
  <c r="H85" i="3"/>
  <c r="G85" i="3"/>
  <c r="F85" i="3"/>
  <c r="E85" i="3"/>
  <c r="D85" i="3"/>
  <c r="C85" i="3"/>
  <c r="K84" i="3"/>
  <c r="J84" i="3"/>
  <c r="I84" i="3"/>
  <c r="H84" i="3"/>
  <c r="G84" i="3"/>
  <c r="F84" i="3"/>
  <c r="E84" i="3"/>
  <c r="D84" i="3"/>
  <c r="C84" i="3"/>
  <c r="K83" i="3"/>
  <c r="J83" i="3"/>
  <c r="I83" i="3"/>
  <c r="H83" i="3"/>
  <c r="G83" i="3"/>
  <c r="F83" i="3"/>
  <c r="E83" i="3"/>
  <c r="D83" i="3"/>
  <c r="C83" i="3"/>
  <c r="K82" i="3"/>
  <c r="J82" i="3"/>
  <c r="I82" i="3"/>
  <c r="H82" i="3"/>
  <c r="G82" i="3"/>
  <c r="F82" i="3"/>
  <c r="E82" i="3"/>
  <c r="D82" i="3"/>
  <c r="C82" i="3"/>
  <c r="K81" i="3"/>
  <c r="J81" i="3"/>
  <c r="I81" i="3"/>
  <c r="H81" i="3"/>
  <c r="G81" i="3"/>
  <c r="F81" i="3"/>
  <c r="E81" i="3"/>
  <c r="D81" i="3"/>
  <c r="C81" i="3"/>
  <c r="K80" i="3"/>
  <c r="J80" i="3"/>
  <c r="I80" i="3"/>
  <c r="H80" i="3"/>
  <c r="G80" i="3"/>
  <c r="F80" i="3"/>
  <c r="E80" i="3"/>
  <c r="D80" i="3"/>
  <c r="C80" i="3"/>
  <c r="K79" i="3"/>
  <c r="J79" i="3"/>
  <c r="I79" i="3"/>
  <c r="H79" i="3"/>
  <c r="G79" i="3"/>
  <c r="F79" i="3"/>
  <c r="E79" i="3"/>
  <c r="D79" i="3"/>
  <c r="C79" i="3"/>
  <c r="K78" i="3"/>
  <c r="J78" i="3"/>
  <c r="I78" i="3"/>
  <c r="H78" i="3"/>
  <c r="G78" i="3"/>
  <c r="F78" i="3"/>
  <c r="E78" i="3"/>
  <c r="D78" i="3"/>
  <c r="C78" i="3"/>
  <c r="K77" i="3"/>
  <c r="J77" i="3"/>
  <c r="I77" i="3"/>
  <c r="H77" i="3"/>
  <c r="G77" i="3"/>
  <c r="F77" i="3"/>
  <c r="E77" i="3"/>
  <c r="D77" i="3"/>
  <c r="C77" i="3"/>
  <c r="K76" i="3"/>
  <c r="J76" i="3"/>
  <c r="I76" i="3"/>
  <c r="H76" i="3"/>
  <c r="G76" i="3"/>
  <c r="F76" i="3"/>
  <c r="E76" i="3"/>
  <c r="D76" i="3"/>
  <c r="C76" i="3"/>
  <c r="K75" i="3"/>
  <c r="J75" i="3"/>
  <c r="I75" i="3"/>
  <c r="H75" i="3"/>
  <c r="G75" i="3"/>
  <c r="F75" i="3"/>
  <c r="E75" i="3"/>
  <c r="D75" i="3"/>
  <c r="C75" i="3"/>
  <c r="K74" i="3"/>
  <c r="J74" i="3"/>
  <c r="I74" i="3"/>
  <c r="H74" i="3"/>
  <c r="G74" i="3"/>
  <c r="F74" i="3"/>
  <c r="E74" i="3"/>
  <c r="D74" i="3"/>
  <c r="C74" i="3"/>
  <c r="K73" i="3"/>
  <c r="J73" i="3"/>
  <c r="I73" i="3"/>
  <c r="H73" i="3"/>
  <c r="G73" i="3"/>
  <c r="F73" i="3"/>
  <c r="E73" i="3"/>
  <c r="D73" i="3"/>
  <c r="C73" i="3"/>
  <c r="K72" i="3"/>
  <c r="J72" i="3"/>
  <c r="I72" i="3"/>
  <c r="H72" i="3"/>
  <c r="G72" i="3"/>
  <c r="F72" i="3"/>
  <c r="E72" i="3"/>
  <c r="D72" i="3"/>
  <c r="C72" i="3"/>
  <c r="K71" i="3"/>
  <c r="J71" i="3"/>
  <c r="I71" i="3"/>
  <c r="H71" i="3"/>
  <c r="G71" i="3"/>
  <c r="F71" i="3"/>
  <c r="E71" i="3"/>
  <c r="D71" i="3"/>
  <c r="C71" i="3"/>
  <c r="K70" i="3"/>
  <c r="J70" i="3"/>
  <c r="I70" i="3"/>
  <c r="H70" i="3"/>
  <c r="G70" i="3"/>
  <c r="F70" i="3"/>
  <c r="E70" i="3"/>
  <c r="D70" i="3"/>
  <c r="C70" i="3"/>
  <c r="K69" i="3"/>
  <c r="J69" i="3"/>
  <c r="I69" i="3"/>
  <c r="H69" i="3"/>
  <c r="G69" i="3"/>
  <c r="F69" i="3"/>
  <c r="E69" i="3"/>
  <c r="D69" i="3"/>
  <c r="C69" i="3"/>
  <c r="K68" i="3"/>
  <c r="J68" i="3"/>
  <c r="I68" i="3"/>
  <c r="H68" i="3"/>
  <c r="G68" i="3"/>
  <c r="F68" i="3"/>
  <c r="E68" i="3"/>
  <c r="D68" i="3"/>
  <c r="C68" i="3"/>
  <c r="K67" i="3"/>
  <c r="J67" i="3"/>
  <c r="I67" i="3"/>
  <c r="H67" i="3"/>
  <c r="G67" i="3"/>
  <c r="F67" i="3"/>
  <c r="E67" i="3"/>
  <c r="D67" i="3"/>
  <c r="C67" i="3"/>
  <c r="K66" i="3"/>
  <c r="J66" i="3"/>
  <c r="I66" i="3"/>
  <c r="H66" i="3"/>
  <c r="G66" i="3"/>
  <c r="F66" i="3"/>
  <c r="E66" i="3"/>
  <c r="D66" i="3"/>
  <c r="C66" i="3"/>
  <c r="K65" i="3"/>
  <c r="J65" i="3"/>
  <c r="I65" i="3"/>
  <c r="H65" i="3"/>
  <c r="G65" i="3"/>
  <c r="F65" i="3"/>
  <c r="E65" i="3"/>
  <c r="D65" i="3"/>
  <c r="C65" i="3"/>
  <c r="K64" i="3"/>
  <c r="J64" i="3"/>
  <c r="I64" i="3"/>
  <c r="H64" i="3"/>
  <c r="G64" i="3"/>
  <c r="F64" i="3"/>
  <c r="E64" i="3"/>
  <c r="D64" i="3"/>
  <c r="C64" i="3"/>
  <c r="K63" i="3"/>
  <c r="J63" i="3"/>
  <c r="I63" i="3"/>
  <c r="H63" i="3"/>
  <c r="G63" i="3"/>
  <c r="F63" i="3"/>
  <c r="E63" i="3"/>
  <c r="D63" i="3"/>
  <c r="C63" i="3"/>
  <c r="K62" i="3"/>
  <c r="J62" i="3"/>
  <c r="I62" i="3"/>
  <c r="H62" i="3"/>
  <c r="G62" i="3"/>
  <c r="F62" i="3"/>
  <c r="E62" i="3"/>
  <c r="D62" i="3"/>
  <c r="C62" i="3"/>
  <c r="K61" i="3"/>
  <c r="J61" i="3"/>
  <c r="I61" i="3"/>
  <c r="H61" i="3"/>
  <c r="G61" i="3"/>
  <c r="F61" i="3"/>
  <c r="E61" i="3"/>
  <c r="D61" i="3"/>
  <c r="C61" i="3"/>
  <c r="K60" i="3"/>
  <c r="J60" i="3"/>
  <c r="I60" i="3"/>
  <c r="H60" i="3"/>
  <c r="G60" i="3"/>
  <c r="F60" i="3"/>
  <c r="E60" i="3"/>
  <c r="D60" i="3"/>
  <c r="C60" i="3"/>
  <c r="K59" i="3"/>
  <c r="J59" i="3"/>
  <c r="I59" i="3"/>
  <c r="H59" i="3"/>
  <c r="G59" i="3"/>
  <c r="F59" i="3"/>
  <c r="E59" i="3"/>
  <c r="D59" i="3"/>
  <c r="C59" i="3"/>
  <c r="K58" i="3"/>
  <c r="J58" i="3"/>
  <c r="I58" i="3"/>
  <c r="H58" i="3"/>
  <c r="G58" i="3"/>
  <c r="F58" i="3"/>
  <c r="E58" i="3"/>
  <c r="D58" i="3"/>
  <c r="C58" i="3"/>
  <c r="K57" i="3"/>
  <c r="J57" i="3"/>
  <c r="I57" i="3"/>
  <c r="H57" i="3"/>
  <c r="G57" i="3"/>
  <c r="F57" i="3"/>
  <c r="E57" i="3"/>
  <c r="D57" i="3"/>
  <c r="C57" i="3"/>
  <c r="K56" i="3"/>
  <c r="J56" i="3"/>
  <c r="I56" i="3"/>
  <c r="H56" i="3"/>
  <c r="G56" i="3"/>
  <c r="F56" i="3"/>
  <c r="E56" i="3"/>
  <c r="D56" i="3"/>
  <c r="C56" i="3"/>
  <c r="K55" i="3"/>
  <c r="J55" i="3"/>
  <c r="I55" i="3"/>
  <c r="H55" i="3"/>
  <c r="G55" i="3"/>
  <c r="F55" i="3"/>
  <c r="E55" i="3"/>
  <c r="D55" i="3"/>
  <c r="C55" i="3"/>
  <c r="K54" i="3"/>
  <c r="J54" i="3"/>
  <c r="I54" i="3"/>
  <c r="H54" i="3"/>
  <c r="G54" i="3"/>
  <c r="F54" i="3"/>
  <c r="E54" i="3"/>
  <c r="D54" i="3"/>
  <c r="C54" i="3"/>
  <c r="K53" i="3"/>
  <c r="J53" i="3"/>
  <c r="I53" i="3"/>
  <c r="H53" i="3"/>
  <c r="G53" i="3"/>
  <c r="F53" i="3"/>
  <c r="E53" i="3"/>
  <c r="D53" i="3"/>
  <c r="C53" i="3"/>
  <c r="K52" i="3"/>
  <c r="J52" i="3"/>
  <c r="I52" i="3"/>
  <c r="H52" i="3"/>
  <c r="G52" i="3"/>
  <c r="F52" i="3"/>
  <c r="E52" i="3"/>
  <c r="D52" i="3"/>
  <c r="C52" i="3"/>
  <c r="K51" i="3"/>
  <c r="J51" i="3"/>
  <c r="I51" i="3"/>
  <c r="H51" i="3"/>
  <c r="G51" i="3"/>
  <c r="F51" i="3"/>
  <c r="E51" i="3"/>
  <c r="D51" i="3"/>
  <c r="C51" i="3"/>
  <c r="K50" i="3"/>
  <c r="J50" i="3"/>
  <c r="I50" i="3"/>
  <c r="H50" i="3"/>
  <c r="G50" i="3"/>
  <c r="F50" i="3"/>
  <c r="E50" i="3"/>
  <c r="D50" i="3"/>
  <c r="C50" i="3"/>
  <c r="K49" i="3"/>
  <c r="J49" i="3"/>
  <c r="I49" i="3"/>
  <c r="H49" i="3"/>
  <c r="G49" i="3"/>
  <c r="F49" i="3"/>
  <c r="E49" i="3"/>
  <c r="D49" i="3"/>
  <c r="C49" i="3"/>
  <c r="K48" i="3"/>
  <c r="J48" i="3"/>
  <c r="I48" i="3"/>
  <c r="H48" i="3"/>
  <c r="G48" i="3"/>
  <c r="F48" i="3"/>
  <c r="E48" i="3"/>
  <c r="D48" i="3"/>
  <c r="C48" i="3"/>
  <c r="K47" i="3"/>
  <c r="J47" i="3"/>
  <c r="I47" i="3"/>
  <c r="H47" i="3"/>
  <c r="G47" i="3"/>
  <c r="F47" i="3"/>
  <c r="E47" i="3"/>
  <c r="D47" i="3"/>
  <c r="C47" i="3"/>
  <c r="K46" i="3"/>
  <c r="J46" i="3"/>
  <c r="I46" i="3"/>
  <c r="H46" i="3"/>
  <c r="G46" i="3"/>
  <c r="F46" i="3"/>
  <c r="E46" i="3"/>
  <c r="D46" i="3"/>
  <c r="C46" i="3"/>
  <c r="K45" i="3"/>
  <c r="J45" i="3"/>
  <c r="I45" i="3"/>
  <c r="H45" i="3"/>
  <c r="G45" i="3"/>
  <c r="F45" i="3"/>
  <c r="E45" i="3"/>
  <c r="D45" i="3"/>
  <c r="C45" i="3"/>
  <c r="K44" i="3"/>
  <c r="J44" i="3"/>
  <c r="I44" i="3"/>
  <c r="H44" i="3"/>
  <c r="G44" i="3"/>
  <c r="F44" i="3"/>
  <c r="E44" i="3"/>
  <c r="D44" i="3"/>
  <c r="C44" i="3"/>
  <c r="K43" i="3"/>
  <c r="J43" i="3"/>
  <c r="I43" i="3"/>
  <c r="H43" i="3"/>
  <c r="G43" i="3"/>
  <c r="F43" i="3"/>
  <c r="E43" i="3"/>
  <c r="D43" i="3"/>
  <c r="C43" i="3"/>
  <c r="K42" i="3"/>
  <c r="J42" i="3"/>
  <c r="I42" i="3"/>
  <c r="H42" i="3"/>
  <c r="G42" i="3"/>
  <c r="F42" i="3"/>
  <c r="E42" i="3"/>
  <c r="D42" i="3"/>
  <c r="C42" i="3"/>
  <c r="K41" i="3"/>
  <c r="J41" i="3"/>
  <c r="I41" i="3"/>
  <c r="H41" i="3"/>
  <c r="G41" i="3"/>
  <c r="F41" i="3"/>
  <c r="E41" i="3"/>
  <c r="D41" i="3"/>
  <c r="C41" i="3"/>
  <c r="K40" i="3"/>
  <c r="J40" i="3"/>
  <c r="I40" i="3"/>
  <c r="H40" i="3"/>
  <c r="G40" i="3"/>
  <c r="F40" i="3"/>
  <c r="E40" i="3"/>
  <c r="D40" i="3"/>
  <c r="C40" i="3"/>
  <c r="K39" i="3"/>
  <c r="J39" i="3"/>
  <c r="I39" i="3"/>
  <c r="H39" i="3"/>
  <c r="G39" i="3"/>
  <c r="F39" i="3"/>
  <c r="E39" i="3"/>
  <c r="D39" i="3"/>
  <c r="C39" i="3"/>
  <c r="K38" i="3"/>
  <c r="J38" i="3"/>
  <c r="I38" i="3"/>
  <c r="H38" i="3"/>
  <c r="G38" i="3"/>
  <c r="F38" i="3"/>
  <c r="E38" i="3"/>
  <c r="D38" i="3"/>
  <c r="C38" i="3"/>
  <c r="K37" i="3"/>
  <c r="J37" i="3"/>
  <c r="I37" i="3"/>
  <c r="H37" i="3"/>
  <c r="G37" i="3"/>
  <c r="F37" i="3"/>
  <c r="E37" i="3"/>
  <c r="D37" i="3"/>
  <c r="C37" i="3"/>
  <c r="K36" i="3"/>
  <c r="J36" i="3"/>
  <c r="I36" i="3"/>
  <c r="H36" i="3"/>
  <c r="G36" i="3"/>
  <c r="F36" i="3"/>
  <c r="E36" i="3"/>
  <c r="D36" i="3"/>
  <c r="C36" i="3"/>
  <c r="K35" i="3"/>
  <c r="J35" i="3"/>
  <c r="I35" i="3"/>
  <c r="H35" i="3"/>
  <c r="G35" i="3"/>
  <c r="F35" i="3"/>
  <c r="E35" i="3"/>
  <c r="D35" i="3"/>
  <c r="C35" i="3"/>
  <c r="K34" i="3"/>
  <c r="J34" i="3"/>
  <c r="I34" i="3"/>
  <c r="H34" i="3"/>
  <c r="G34" i="3"/>
  <c r="F34" i="3"/>
  <c r="E34" i="3"/>
  <c r="D34" i="3"/>
  <c r="C34" i="3"/>
  <c r="K33" i="3"/>
  <c r="J33" i="3"/>
  <c r="I33" i="3"/>
  <c r="H33" i="3"/>
  <c r="G33" i="3"/>
  <c r="F33" i="3"/>
  <c r="E33" i="3"/>
  <c r="D33" i="3"/>
  <c r="C33" i="3"/>
  <c r="K32" i="3"/>
  <c r="J32" i="3"/>
  <c r="I32" i="3"/>
  <c r="H32" i="3"/>
  <c r="G32" i="3"/>
  <c r="F32" i="3"/>
  <c r="E32" i="3"/>
  <c r="D32" i="3"/>
  <c r="C32" i="3"/>
  <c r="K31" i="3"/>
  <c r="J31" i="3"/>
  <c r="I31" i="3"/>
  <c r="H31" i="3"/>
  <c r="G31" i="3"/>
  <c r="F31" i="3"/>
  <c r="E31" i="3"/>
  <c r="D31" i="3"/>
  <c r="C31" i="3"/>
  <c r="K30" i="3"/>
  <c r="J30" i="3"/>
  <c r="I30" i="3"/>
  <c r="H30" i="3"/>
  <c r="G30" i="3"/>
  <c r="F30" i="3"/>
  <c r="E30" i="3"/>
  <c r="D30" i="3"/>
  <c r="C30" i="3"/>
  <c r="K29" i="3"/>
  <c r="J29" i="3"/>
  <c r="I29" i="3"/>
  <c r="H29" i="3"/>
  <c r="G29" i="3"/>
  <c r="F29" i="3"/>
  <c r="E29" i="3"/>
  <c r="D29" i="3"/>
  <c r="C29" i="3"/>
  <c r="K28" i="3"/>
  <c r="J28" i="3"/>
  <c r="I28" i="3"/>
  <c r="H28" i="3"/>
  <c r="G28" i="3"/>
  <c r="F28" i="3"/>
  <c r="E28" i="3"/>
  <c r="D28" i="3"/>
  <c r="C28" i="3"/>
  <c r="K27" i="3"/>
  <c r="J27" i="3"/>
  <c r="I27" i="3"/>
  <c r="H27" i="3"/>
  <c r="G27" i="3"/>
  <c r="F27" i="3"/>
  <c r="E27" i="3"/>
  <c r="D27" i="3"/>
  <c r="C27" i="3"/>
  <c r="K26" i="3"/>
  <c r="J26" i="3"/>
  <c r="I26" i="3"/>
  <c r="H26" i="3"/>
  <c r="G26" i="3"/>
  <c r="F26" i="3"/>
  <c r="E26" i="3"/>
  <c r="D26" i="3"/>
  <c r="C26" i="3"/>
  <c r="K25" i="3"/>
  <c r="J25" i="3"/>
  <c r="I25" i="3"/>
  <c r="H25" i="3"/>
  <c r="G25" i="3"/>
  <c r="F25" i="3"/>
  <c r="E25" i="3"/>
  <c r="D25" i="3"/>
  <c r="C25" i="3"/>
  <c r="K24" i="3"/>
  <c r="J24" i="3"/>
  <c r="I24" i="3"/>
  <c r="H24" i="3"/>
  <c r="G24" i="3"/>
  <c r="F24" i="3"/>
  <c r="E24" i="3"/>
  <c r="D24" i="3"/>
  <c r="C24" i="3"/>
  <c r="K23" i="3"/>
  <c r="J23" i="3"/>
  <c r="I23" i="3"/>
  <c r="H23" i="3"/>
  <c r="G23" i="3"/>
  <c r="F23" i="3"/>
  <c r="E23" i="3"/>
  <c r="D23" i="3"/>
  <c r="C23" i="3"/>
  <c r="K22" i="3"/>
  <c r="J22" i="3"/>
  <c r="I22" i="3"/>
  <c r="H22" i="3"/>
  <c r="G22" i="3"/>
  <c r="F22" i="3"/>
  <c r="E22" i="3"/>
  <c r="D22" i="3"/>
  <c r="C22" i="3"/>
  <c r="K21" i="3"/>
  <c r="J21" i="3"/>
  <c r="I21" i="3"/>
  <c r="H21" i="3"/>
  <c r="G21" i="3"/>
  <c r="F21" i="3"/>
  <c r="E21" i="3"/>
  <c r="D21" i="3"/>
  <c r="C21" i="3"/>
  <c r="K20" i="3"/>
  <c r="J20" i="3"/>
  <c r="I20" i="3"/>
  <c r="H20" i="3"/>
  <c r="G20" i="3"/>
  <c r="F20" i="3"/>
  <c r="E20" i="3"/>
  <c r="D20" i="3"/>
  <c r="C20" i="3"/>
  <c r="K19" i="3"/>
  <c r="J19" i="3"/>
  <c r="I19" i="3"/>
  <c r="H19" i="3"/>
  <c r="G19" i="3"/>
  <c r="F19" i="3"/>
  <c r="E19" i="3"/>
  <c r="D19" i="3"/>
  <c r="C19" i="3"/>
  <c r="K18" i="3"/>
  <c r="J18" i="3"/>
  <c r="I18" i="3"/>
  <c r="H18" i="3"/>
  <c r="G18" i="3"/>
  <c r="F18" i="3"/>
  <c r="E18" i="3"/>
  <c r="D18" i="3"/>
  <c r="C18" i="3"/>
  <c r="K17" i="3"/>
  <c r="J17" i="3"/>
  <c r="I17" i="3"/>
  <c r="H17" i="3"/>
  <c r="G17" i="3"/>
  <c r="F17" i="3"/>
  <c r="E17" i="3"/>
  <c r="D17" i="3"/>
  <c r="C17" i="3"/>
  <c r="K16" i="3"/>
  <c r="J16" i="3"/>
  <c r="I16" i="3"/>
  <c r="H16" i="3"/>
  <c r="G16" i="3"/>
  <c r="F16" i="3"/>
  <c r="E16" i="3"/>
  <c r="D16" i="3"/>
  <c r="C16" i="3"/>
  <c r="K15" i="3"/>
  <c r="J15" i="3"/>
  <c r="I15" i="3"/>
  <c r="H15" i="3"/>
  <c r="G15" i="3"/>
  <c r="F15" i="3"/>
  <c r="E15" i="3"/>
  <c r="D15" i="3"/>
  <c r="C15" i="3"/>
  <c r="K14" i="3"/>
  <c r="J14" i="3"/>
  <c r="I14" i="3"/>
  <c r="H14" i="3"/>
  <c r="G14" i="3"/>
  <c r="F14" i="3"/>
  <c r="E14" i="3"/>
  <c r="D14" i="3"/>
  <c r="C14" i="3"/>
  <c r="K13" i="3"/>
  <c r="J13" i="3"/>
  <c r="I13" i="3"/>
  <c r="H13" i="3"/>
  <c r="G13" i="3"/>
  <c r="F13" i="3"/>
  <c r="E13" i="3"/>
  <c r="D13" i="3"/>
  <c r="C13" i="3"/>
  <c r="K12" i="3"/>
  <c r="J12" i="3"/>
  <c r="I12" i="3"/>
  <c r="H12" i="3"/>
  <c r="G12" i="3"/>
  <c r="F12" i="3"/>
  <c r="E12" i="3"/>
  <c r="D12" i="3"/>
  <c r="C12" i="3"/>
  <c r="K11" i="3"/>
  <c r="J11" i="3"/>
  <c r="I11" i="3"/>
  <c r="H11" i="3"/>
  <c r="G11" i="3"/>
  <c r="F11" i="3"/>
  <c r="E11" i="3"/>
  <c r="D11" i="3"/>
  <c r="C11" i="3"/>
  <c r="K10" i="3"/>
  <c r="J10" i="3"/>
  <c r="I10" i="3"/>
  <c r="H10" i="3"/>
  <c r="G10" i="3"/>
  <c r="F10" i="3"/>
  <c r="E10" i="3"/>
  <c r="D10" i="3"/>
  <c r="C10" i="3"/>
  <c r="K9" i="3"/>
  <c r="J9" i="3"/>
  <c r="I9" i="3"/>
  <c r="H9" i="3"/>
  <c r="G9" i="3"/>
  <c r="F9" i="3"/>
  <c r="E9" i="3"/>
  <c r="D9" i="3"/>
  <c r="C9" i="3"/>
  <c r="K8" i="3"/>
  <c r="J8" i="3"/>
  <c r="I8" i="3"/>
  <c r="H8" i="3"/>
  <c r="G8" i="3"/>
  <c r="F8" i="3"/>
  <c r="E8" i="3"/>
  <c r="D8" i="3"/>
  <c r="C8" i="3"/>
  <c r="K7" i="3"/>
  <c r="J7" i="3"/>
  <c r="I7" i="3"/>
  <c r="H7" i="3"/>
  <c r="G7" i="3"/>
  <c r="F7" i="3"/>
  <c r="E7" i="3"/>
  <c r="D7" i="3"/>
  <c r="C7" i="3"/>
  <c r="K6" i="3"/>
  <c r="J6" i="3"/>
  <c r="I6" i="3"/>
  <c r="H6" i="3"/>
  <c r="G6" i="3"/>
  <c r="F6" i="3"/>
  <c r="E6" i="3"/>
  <c r="D6" i="3"/>
  <c r="C6" i="3"/>
  <c r="K5" i="3"/>
  <c r="J5" i="3"/>
  <c r="I5" i="3"/>
  <c r="H5" i="3"/>
  <c r="G5" i="3"/>
  <c r="F5" i="3"/>
  <c r="E5" i="3"/>
  <c r="D5" i="3"/>
  <c r="C5" i="3"/>
  <c r="K4" i="3"/>
  <c r="J4" i="3"/>
  <c r="I4" i="3"/>
  <c r="H4" i="3"/>
  <c r="G4" i="3"/>
  <c r="F4" i="3"/>
  <c r="E4" i="3"/>
  <c r="D4" i="3"/>
  <c r="C4" i="3"/>
  <c r="K3" i="3"/>
  <c r="J3" i="3"/>
  <c r="I3" i="3"/>
  <c r="H3" i="3"/>
  <c r="G3" i="3"/>
  <c r="F3" i="3"/>
  <c r="E3" i="3"/>
  <c r="D3" i="3"/>
  <c r="C3" i="3"/>
  <c r="K2" i="3"/>
  <c r="J2" i="3"/>
  <c r="I2" i="3"/>
  <c r="H2" i="3"/>
  <c r="G2" i="3"/>
  <c r="F2" i="3"/>
  <c r="E2" i="3"/>
  <c r="D2" i="3"/>
  <c r="C2" i="3"/>
  <c r="C3" i="2"/>
  <c r="D3" i="2"/>
  <c r="E3" i="2"/>
  <c r="F3" i="2"/>
  <c r="G3" i="2"/>
  <c r="H3" i="2"/>
  <c r="I3" i="2"/>
  <c r="J3" i="2"/>
  <c r="K3" i="2"/>
  <c r="C4" i="2"/>
  <c r="D4" i="2"/>
  <c r="E4" i="2"/>
  <c r="F4" i="2"/>
  <c r="G4" i="2"/>
  <c r="H4" i="2"/>
  <c r="I4" i="2"/>
  <c r="J4" i="2"/>
  <c r="K4" i="2"/>
  <c r="C5" i="2"/>
  <c r="D5" i="2"/>
  <c r="E5" i="2"/>
  <c r="F5" i="2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C15" i="2"/>
  <c r="D15" i="2"/>
  <c r="E15" i="2"/>
  <c r="F15" i="2"/>
  <c r="G15" i="2"/>
  <c r="H15" i="2"/>
  <c r="I15" i="2"/>
  <c r="J15" i="2"/>
  <c r="K15" i="2"/>
  <c r="C16" i="2"/>
  <c r="D16" i="2"/>
  <c r="E16" i="2"/>
  <c r="F16" i="2"/>
  <c r="G16" i="2"/>
  <c r="H16" i="2"/>
  <c r="I16" i="2"/>
  <c r="J16" i="2"/>
  <c r="K16" i="2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C19" i="2"/>
  <c r="D19" i="2"/>
  <c r="E19" i="2"/>
  <c r="F19" i="2"/>
  <c r="G19" i="2"/>
  <c r="H19" i="2"/>
  <c r="I19" i="2"/>
  <c r="J19" i="2"/>
  <c r="K19" i="2"/>
  <c r="C20" i="2"/>
  <c r="D20" i="2"/>
  <c r="E20" i="2"/>
  <c r="F20" i="2"/>
  <c r="G20" i="2"/>
  <c r="H20" i="2"/>
  <c r="I20" i="2"/>
  <c r="J20" i="2"/>
  <c r="K20" i="2"/>
  <c r="C21" i="2"/>
  <c r="D21" i="2"/>
  <c r="E21" i="2"/>
  <c r="F21" i="2"/>
  <c r="G21" i="2"/>
  <c r="H21" i="2"/>
  <c r="I21" i="2"/>
  <c r="J21" i="2"/>
  <c r="K21" i="2"/>
  <c r="C22" i="2"/>
  <c r="D22" i="2"/>
  <c r="E22" i="2"/>
  <c r="F22" i="2"/>
  <c r="G22" i="2"/>
  <c r="H22" i="2"/>
  <c r="I22" i="2"/>
  <c r="J22" i="2"/>
  <c r="K22" i="2"/>
  <c r="C23" i="2"/>
  <c r="D23" i="2"/>
  <c r="E23" i="2"/>
  <c r="F23" i="2"/>
  <c r="G23" i="2"/>
  <c r="H23" i="2"/>
  <c r="I23" i="2"/>
  <c r="J23" i="2"/>
  <c r="K23" i="2"/>
  <c r="C24" i="2"/>
  <c r="D24" i="2"/>
  <c r="E24" i="2"/>
  <c r="F24" i="2"/>
  <c r="G24" i="2"/>
  <c r="H24" i="2"/>
  <c r="I24" i="2"/>
  <c r="J24" i="2"/>
  <c r="K24" i="2"/>
  <c r="C25" i="2"/>
  <c r="D25" i="2"/>
  <c r="E25" i="2"/>
  <c r="F25" i="2"/>
  <c r="G25" i="2"/>
  <c r="H25" i="2"/>
  <c r="I25" i="2"/>
  <c r="J25" i="2"/>
  <c r="K25" i="2"/>
  <c r="C26" i="2"/>
  <c r="D26" i="2"/>
  <c r="E26" i="2"/>
  <c r="F26" i="2"/>
  <c r="G26" i="2"/>
  <c r="H26" i="2"/>
  <c r="I26" i="2"/>
  <c r="J26" i="2"/>
  <c r="K26" i="2"/>
  <c r="C27" i="2"/>
  <c r="D27" i="2"/>
  <c r="E27" i="2"/>
  <c r="F27" i="2"/>
  <c r="G27" i="2"/>
  <c r="H27" i="2"/>
  <c r="I27" i="2"/>
  <c r="J27" i="2"/>
  <c r="K27" i="2"/>
  <c r="C28" i="2"/>
  <c r="D28" i="2"/>
  <c r="E28" i="2"/>
  <c r="F28" i="2"/>
  <c r="G28" i="2"/>
  <c r="H28" i="2"/>
  <c r="I28" i="2"/>
  <c r="J28" i="2"/>
  <c r="K28" i="2"/>
  <c r="C29" i="2"/>
  <c r="D29" i="2"/>
  <c r="E29" i="2"/>
  <c r="F29" i="2"/>
  <c r="G29" i="2"/>
  <c r="H29" i="2"/>
  <c r="I29" i="2"/>
  <c r="J29" i="2"/>
  <c r="K29" i="2"/>
  <c r="C30" i="2"/>
  <c r="D30" i="2"/>
  <c r="E30" i="2"/>
  <c r="F30" i="2"/>
  <c r="G30" i="2"/>
  <c r="H30" i="2"/>
  <c r="I30" i="2"/>
  <c r="J30" i="2"/>
  <c r="K30" i="2"/>
  <c r="C31" i="2"/>
  <c r="D31" i="2"/>
  <c r="E31" i="2"/>
  <c r="F31" i="2"/>
  <c r="G31" i="2"/>
  <c r="H31" i="2"/>
  <c r="I31" i="2"/>
  <c r="J31" i="2"/>
  <c r="K31" i="2"/>
  <c r="C32" i="2"/>
  <c r="D32" i="2"/>
  <c r="E32" i="2"/>
  <c r="F32" i="2"/>
  <c r="G32" i="2"/>
  <c r="H32" i="2"/>
  <c r="I32" i="2"/>
  <c r="J32" i="2"/>
  <c r="K32" i="2"/>
  <c r="C33" i="2"/>
  <c r="D33" i="2"/>
  <c r="E33" i="2"/>
  <c r="F33" i="2"/>
  <c r="G33" i="2"/>
  <c r="H33" i="2"/>
  <c r="I33" i="2"/>
  <c r="J33" i="2"/>
  <c r="K33" i="2"/>
  <c r="C34" i="2"/>
  <c r="D34" i="2"/>
  <c r="E34" i="2"/>
  <c r="F34" i="2"/>
  <c r="G34" i="2"/>
  <c r="H34" i="2"/>
  <c r="I34" i="2"/>
  <c r="J34" i="2"/>
  <c r="K34" i="2"/>
  <c r="C35" i="2"/>
  <c r="D35" i="2"/>
  <c r="E35" i="2"/>
  <c r="F35" i="2"/>
  <c r="G35" i="2"/>
  <c r="H35" i="2"/>
  <c r="I35" i="2"/>
  <c r="J35" i="2"/>
  <c r="K35" i="2"/>
  <c r="C36" i="2"/>
  <c r="D36" i="2"/>
  <c r="E36" i="2"/>
  <c r="F36" i="2"/>
  <c r="G36" i="2"/>
  <c r="H36" i="2"/>
  <c r="I36" i="2"/>
  <c r="J36" i="2"/>
  <c r="K36" i="2"/>
  <c r="C37" i="2"/>
  <c r="D37" i="2"/>
  <c r="E37" i="2"/>
  <c r="F37" i="2"/>
  <c r="G37" i="2"/>
  <c r="H37" i="2"/>
  <c r="I37" i="2"/>
  <c r="J37" i="2"/>
  <c r="K37" i="2"/>
  <c r="C38" i="2"/>
  <c r="D38" i="2"/>
  <c r="E38" i="2"/>
  <c r="F38" i="2"/>
  <c r="G38" i="2"/>
  <c r="H38" i="2"/>
  <c r="I38" i="2"/>
  <c r="J38" i="2"/>
  <c r="K38" i="2"/>
  <c r="C39" i="2"/>
  <c r="D39" i="2"/>
  <c r="E39" i="2"/>
  <c r="F39" i="2"/>
  <c r="G39" i="2"/>
  <c r="H39" i="2"/>
  <c r="I39" i="2"/>
  <c r="J39" i="2"/>
  <c r="K39" i="2"/>
  <c r="C40" i="2"/>
  <c r="D40" i="2"/>
  <c r="E40" i="2"/>
  <c r="F40" i="2"/>
  <c r="G40" i="2"/>
  <c r="H40" i="2"/>
  <c r="I40" i="2"/>
  <c r="J40" i="2"/>
  <c r="K40" i="2"/>
  <c r="C41" i="2"/>
  <c r="D41" i="2"/>
  <c r="E41" i="2"/>
  <c r="F41" i="2"/>
  <c r="G41" i="2"/>
  <c r="H41" i="2"/>
  <c r="I41" i="2"/>
  <c r="J41" i="2"/>
  <c r="K41" i="2"/>
  <c r="C42" i="2"/>
  <c r="D42" i="2"/>
  <c r="E42" i="2"/>
  <c r="F42" i="2"/>
  <c r="G42" i="2"/>
  <c r="H42" i="2"/>
  <c r="I42" i="2"/>
  <c r="J42" i="2"/>
  <c r="K42" i="2"/>
  <c r="C43" i="2"/>
  <c r="D43" i="2"/>
  <c r="E43" i="2"/>
  <c r="F43" i="2"/>
  <c r="G43" i="2"/>
  <c r="H43" i="2"/>
  <c r="I43" i="2"/>
  <c r="J43" i="2"/>
  <c r="K43" i="2"/>
  <c r="C44" i="2"/>
  <c r="D44" i="2"/>
  <c r="E44" i="2"/>
  <c r="F44" i="2"/>
  <c r="G44" i="2"/>
  <c r="H44" i="2"/>
  <c r="I44" i="2"/>
  <c r="J44" i="2"/>
  <c r="K44" i="2"/>
  <c r="C45" i="2"/>
  <c r="D45" i="2"/>
  <c r="E45" i="2"/>
  <c r="F45" i="2"/>
  <c r="G45" i="2"/>
  <c r="H45" i="2"/>
  <c r="I45" i="2"/>
  <c r="J45" i="2"/>
  <c r="K45" i="2"/>
  <c r="C46" i="2"/>
  <c r="D46" i="2"/>
  <c r="E46" i="2"/>
  <c r="F46" i="2"/>
  <c r="G46" i="2"/>
  <c r="H46" i="2"/>
  <c r="I46" i="2"/>
  <c r="J46" i="2"/>
  <c r="K46" i="2"/>
  <c r="C47" i="2"/>
  <c r="D47" i="2"/>
  <c r="E47" i="2"/>
  <c r="F47" i="2"/>
  <c r="G47" i="2"/>
  <c r="H47" i="2"/>
  <c r="I47" i="2"/>
  <c r="J47" i="2"/>
  <c r="K47" i="2"/>
  <c r="C48" i="2"/>
  <c r="D48" i="2"/>
  <c r="E48" i="2"/>
  <c r="F48" i="2"/>
  <c r="G48" i="2"/>
  <c r="H48" i="2"/>
  <c r="I48" i="2"/>
  <c r="J48" i="2"/>
  <c r="K48" i="2"/>
  <c r="C49" i="2"/>
  <c r="D49" i="2"/>
  <c r="E49" i="2"/>
  <c r="F49" i="2"/>
  <c r="G49" i="2"/>
  <c r="H49" i="2"/>
  <c r="I49" i="2"/>
  <c r="J49" i="2"/>
  <c r="K49" i="2"/>
  <c r="C50" i="2"/>
  <c r="D50" i="2"/>
  <c r="E50" i="2"/>
  <c r="F50" i="2"/>
  <c r="G50" i="2"/>
  <c r="H50" i="2"/>
  <c r="I50" i="2"/>
  <c r="J50" i="2"/>
  <c r="K50" i="2"/>
  <c r="C51" i="2"/>
  <c r="D51" i="2"/>
  <c r="E51" i="2"/>
  <c r="F51" i="2"/>
  <c r="G51" i="2"/>
  <c r="H51" i="2"/>
  <c r="I51" i="2"/>
  <c r="J51" i="2"/>
  <c r="K51" i="2"/>
  <c r="C52" i="2"/>
  <c r="D52" i="2"/>
  <c r="E52" i="2"/>
  <c r="F52" i="2"/>
  <c r="G52" i="2"/>
  <c r="H52" i="2"/>
  <c r="I52" i="2"/>
  <c r="J52" i="2"/>
  <c r="K52" i="2"/>
  <c r="C53" i="2"/>
  <c r="D53" i="2"/>
  <c r="E53" i="2"/>
  <c r="F53" i="2"/>
  <c r="G53" i="2"/>
  <c r="H53" i="2"/>
  <c r="I53" i="2"/>
  <c r="J53" i="2"/>
  <c r="K53" i="2"/>
  <c r="C54" i="2"/>
  <c r="D54" i="2"/>
  <c r="E54" i="2"/>
  <c r="F54" i="2"/>
  <c r="G54" i="2"/>
  <c r="H54" i="2"/>
  <c r="I54" i="2"/>
  <c r="J54" i="2"/>
  <c r="K54" i="2"/>
  <c r="C55" i="2"/>
  <c r="D55" i="2"/>
  <c r="E55" i="2"/>
  <c r="F55" i="2"/>
  <c r="G55" i="2"/>
  <c r="H55" i="2"/>
  <c r="I55" i="2"/>
  <c r="J55" i="2"/>
  <c r="K55" i="2"/>
  <c r="C56" i="2"/>
  <c r="D56" i="2"/>
  <c r="E56" i="2"/>
  <c r="F56" i="2"/>
  <c r="G56" i="2"/>
  <c r="H56" i="2"/>
  <c r="I56" i="2"/>
  <c r="J56" i="2"/>
  <c r="K56" i="2"/>
  <c r="C57" i="2"/>
  <c r="D57" i="2"/>
  <c r="E57" i="2"/>
  <c r="F57" i="2"/>
  <c r="G57" i="2"/>
  <c r="H57" i="2"/>
  <c r="I57" i="2"/>
  <c r="J57" i="2"/>
  <c r="K57" i="2"/>
  <c r="C58" i="2"/>
  <c r="D58" i="2"/>
  <c r="E58" i="2"/>
  <c r="F58" i="2"/>
  <c r="G58" i="2"/>
  <c r="H58" i="2"/>
  <c r="I58" i="2"/>
  <c r="J58" i="2"/>
  <c r="K58" i="2"/>
  <c r="C59" i="2"/>
  <c r="D59" i="2"/>
  <c r="E59" i="2"/>
  <c r="F59" i="2"/>
  <c r="G59" i="2"/>
  <c r="H59" i="2"/>
  <c r="I59" i="2"/>
  <c r="J59" i="2"/>
  <c r="K59" i="2"/>
  <c r="C60" i="2"/>
  <c r="D60" i="2"/>
  <c r="E60" i="2"/>
  <c r="F60" i="2"/>
  <c r="G60" i="2"/>
  <c r="H60" i="2"/>
  <c r="I60" i="2"/>
  <c r="J60" i="2"/>
  <c r="K60" i="2"/>
  <c r="C61" i="2"/>
  <c r="D61" i="2"/>
  <c r="E61" i="2"/>
  <c r="F61" i="2"/>
  <c r="G61" i="2"/>
  <c r="H61" i="2"/>
  <c r="I61" i="2"/>
  <c r="J61" i="2"/>
  <c r="K61" i="2"/>
  <c r="C62" i="2"/>
  <c r="D62" i="2"/>
  <c r="E62" i="2"/>
  <c r="F62" i="2"/>
  <c r="G62" i="2"/>
  <c r="H62" i="2"/>
  <c r="I62" i="2"/>
  <c r="J62" i="2"/>
  <c r="K62" i="2"/>
  <c r="C63" i="2"/>
  <c r="D63" i="2"/>
  <c r="E63" i="2"/>
  <c r="F63" i="2"/>
  <c r="G63" i="2"/>
  <c r="H63" i="2"/>
  <c r="I63" i="2"/>
  <c r="J63" i="2"/>
  <c r="K63" i="2"/>
  <c r="C64" i="2"/>
  <c r="D64" i="2"/>
  <c r="E64" i="2"/>
  <c r="F64" i="2"/>
  <c r="G64" i="2"/>
  <c r="H64" i="2"/>
  <c r="I64" i="2"/>
  <c r="J64" i="2"/>
  <c r="K64" i="2"/>
  <c r="C65" i="2"/>
  <c r="D65" i="2"/>
  <c r="E65" i="2"/>
  <c r="F65" i="2"/>
  <c r="G65" i="2"/>
  <c r="H65" i="2"/>
  <c r="I65" i="2"/>
  <c r="J65" i="2"/>
  <c r="K65" i="2"/>
  <c r="C66" i="2"/>
  <c r="D66" i="2"/>
  <c r="E66" i="2"/>
  <c r="F66" i="2"/>
  <c r="G66" i="2"/>
  <c r="H66" i="2"/>
  <c r="I66" i="2"/>
  <c r="J66" i="2"/>
  <c r="K66" i="2"/>
  <c r="C67" i="2"/>
  <c r="D67" i="2"/>
  <c r="E67" i="2"/>
  <c r="F67" i="2"/>
  <c r="G67" i="2"/>
  <c r="H67" i="2"/>
  <c r="I67" i="2"/>
  <c r="J67" i="2"/>
  <c r="K67" i="2"/>
  <c r="C68" i="2"/>
  <c r="D68" i="2"/>
  <c r="E68" i="2"/>
  <c r="F68" i="2"/>
  <c r="G68" i="2"/>
  <c r="H68" i="2"/>
  <c r="I68" i="2"/>
  <c r="J68" i="2"/>
  <c r="K68" i="2"/>
  <c r="C69" i="2"/>
  <c r="D69" i="2"/>
  <c r="E69" i="2"/>
  <c r="F69" i="2"/>
  <c r="G69" i="2"/>
  <c r="H69" i="2"/>
  <c r="I69" i="2"/>
  <c r="J69" i="2"/>
  <c r="K69" i="2"/>
  <c r="C70" i="2"/>
  <c r="D70" i="2"/>
  <c r="E70" i="2"/>
  <c r="F70" i="2"/>
  <c r="G70" i="2"/>
  <c r="H70" i="2"/>
  <c r="I70" i="2"/>
  <c r="J70" i="2"/>
  <c r="K70" i="2"/>
  <c r="C71" i="2"/>
  <c r="D71" i="2"/>
  <c r="E71" i="2"/>
  <c r="F71" i="2"/>
  <c r="G71" i="2"/>
  <c r="H71" i="2"/>
  <c r="I71" i="2"/>
  <c r="J71" i="2"/>
  <c r="K71" i="2"/>
  <c r="C72" i="2"/>
  <c r="D72" i="2"/>
  <c r="E72" i="2"/>
  <c r="F72" i="2"/>
  <c r="G72" i="2"/>
  <c r="H72" i="2"/>
  <c r="I72" i="2"/>
  <c r="J72" i="2"/>
  <c r="K72" i="2"/>
  <c r="C73" i="2"/>
  <c r="D73" i="2"/>
  <c r="E73" i="2"/>
  <c r="F73" i="2"/>
  <c r="G73" i="2"/>
  <c r="H73" i="2"/>
  <c r="I73" i="2"/>
  <c r="J73" i="2"/>
  <c r="K73" i="2"/>
  <c r="C74" i="2"/>
  <c r="D74" i="2"/>
  <c r="E74" i="2"/>
  <c r="F74" i="2"/>
  <c r="G74" i="2"/>
  <c r="H74" i="2"/>
  <c r="I74" i="2"/>
  <c r="J74" i="2"/>
  <c r="K74" i="2"/>
  <c r="C75" i="2"/>
  <c r="D75" i="2"/>
  <c r="E75" i="2"/>
  <c r="F75" i="2"/>
  <c r="G75" i="2"/>
  <c r="H75" i="2"/>
  <c r="I75" i="2"/>
  <c r="J75" i="2"/>
  <c r="K75" i="2"/>
  <c r="C76" i="2"/>
  <c r="D76" i="2"/>
  <c r="E76" i="2"/>
  <c r="F76" i="2"/>
  <c r="G76" i="2"/>
  <c r="H76" i="2"/>
  <c r="I76" i="2"/>
  <c r="J76" i="2"/>
  <c r="K76" i="2"/>
  <c r="C77" i="2"/>
  <c r="D77" i="2"/>
  <c r="E77" i="2"/>
  <c r="F77" i="2"/>
  <c r="G77" i="2"/>
  <c r="H77" i="2"/>
  <c r="I77" i="2"/>
  <c r="J77" i="2"/>
  <c r="K77" i="2"/>
  <c r="C78" i="2"/>
  <c r="D78" i="2"/>
  <c r="E78" i="2"/>
  <c r="F78" i="2"/>
  <c r="G78" i="2"/>
  <c r="H78" i="2"/>
  <c r="I78" i="2"/>
  <c r="J78" i="2"/>
  <c r="K78" i="2"/>
  <c r="C79" i="2"/>
  <c r="D79" i="2"/>
  <c r="E79" i="2"/>
  <c r="F79" i="2"/>
  <c r="G79" i="2"/>
  <c r="H79" i="2"/>
  <c r="I79" i="2"/>
  <c r="J79" i="2"/>
  <c r="K79" i="2"/>
  <c r="C80" i="2"/>
  <c r="D80" i="2"/>
  <c r="E80" i="2"/>
  <c r="F80" i="2"/>
  <c r="G80" i="2"/>
  <c r="H80" i="2"/>
  <c r="I80" i="2"/>
  <c r="J80" i="2"/>
  <c r="K80" i="2"/>
  <c r="C81" i="2"/>
  <c r="D81" i="2"/>
  <c r="E81" i="2"/>
  <c r="F81" i="2"/>
  <c r="G81" i="2"/>
  <c r="H81" i="2"/>
  <c r="I81" i="2"/>
  <c r="J81" i="2"/>
  <c r="K81" i="2"/>
  <c r="C82" i="2"/>
  <c r="D82" i="2"/>
  <c r="E82" i="2"/>
  <c r="F82" i="2"/>
  <c r="G82" i="2"/>
  <c r="H82" i="2"/>
  <c r="I82" i="2"/>
  <c r="J82" i="2"/>
  <c r="K82" i="2"/>
  <c r="C83" i="2"/>
  <c r="D83" i="2"/>
  <c r="E83" i="2"/>
  <c r="F83" i="2"/>
  <c r="G83" i="2"/>
  <c r="H83" i="2"/>
  <c r="I83" i="2"/>
  <c r="J83" i="2"/>
  <c r="K83" i="2"/>
  <c r="C84" i="2"/>
  <c r="D84" i="2"/>
  <c r="E84" i="2"/>
  <c r="F84" i="2"/>
  <c r="G84" i="2"/>
  <c r="H84" i="2"/>
  <c r="I84" i="2"/>
  <c r="J84" i="2"/>
  <c r="K84" i="2"/>
  <c r="C85" i="2"/>
  <c r="D85" i="2"/>
  <c r="E85" i="2"/>
  <c r="F85" i="2"/>
  <c r="G85" i="2"/>
  <c r="H85" i="2"/>
  <c r="I85" i="2"/>
  <c r="J85" i="2"/>
  <c r="K85" i="2"/>
  <c r="C86" i="2"/>
  <c r="D86" i="2"/>
  <c r="E86" i="2"/>
  <c r="F86" i="2"/>
  <c r="G86" i="2"/>
  <c r="H86" i="2"/>
  <c r="I86" i="2"/>
  <c r="J86" i="2"/>
  <c r="K86" i="2"/>
  <c r="C87" i="2"/>
  <c r="D87" i="2"/>
  <c r="E87" i="2"/>
  <c r="F87" i="2"/>
  <c r="G87" i="2"/>
  <c r="H87" i="2"/>
  <c r="I87" i="2"/>
  <c r="J87" i="2"/>
  <c r="K87" i="2"/>
  <c r="C88" i="2"/>
  <c r="D88" i="2"/>
  <c r="E88" i="2"/>
  <c r="F88" i="2"/>
  <c r="G88" i="2"/>
  <c r="H88" i="2"/>
  <c r="I88" i="2"/>
  <c r="J88" i="2"/>
  <c r="K88" i="2"/>
  <c r="C89" i="2"/>
  <c r="D89" i="2"/>
  <c r="E89" i="2"/>
  <c r="F89" i="2"/>
  <c r="G89" i="2"/>
  <c r="H89" i="2"/>
  <c r="I89" i="2"/>
  <c r="J89" i="2"/>
  <c r="K89" i="2"/>
  <c r="C90" i="2"/>
  <c r="D90" i="2"/>
  <c r="E90" i="2"/>
  <c r="F90" i="2"/>
  <c r="G90" i="2"/>
  <c r="H90" i="2"/>
  <c r="I90" i="2"/>
  <c r="J90" i="2"/>
  <c r="K90" i="2"/>
  <c r="C91" i="2"/>
  <c r="D91" i="2"/>
  <c r="E91" i="2"/>
  <c r="F91" i="2"/>
  <c r="G91" i="2"/>
  <c r="H91" i="2"/>
  <c r="I91" i="2"/>
  <c r="J91" i="2"/>
  <c r="K91" i="2"/>
  <c r="C92" i="2"/>
  <c r="D92" i="2"/>
  <c r="E92" i="2"/>
  <c r="F92" i="2"/>
  <c r="G92" i="2"/>
  <c r="H92" i="2"/>
  <c r="I92" i="2"/>
  <c r="J92" i="2"/>
  <c r="K92" i="2"/>
  <c r="C93" i="2"/>
  <c r="D93" i="2"/>
  <c r="E93" i="2"/>
  <c r="F93" i="2"/>
  <c r="G93" i="2"/>
  <c r="H93" i="2"/>
  <c r="I93" i="2"/>
  <c r="J93" i="2"/>
  <c r="K93" i="2"/>
  <c r="C94" i="2"/>
  <c r="D94" i="2"/>
  <c r="E94" i="2"/>
  <c r="F94" i="2"/>
  <c r="G94" i="2"/>
  <c r="H94" i="2"/>
  <c r="I94" i="2"/>
  <c r="J94" i="2"/>
  <c r="K94" i="2"/>
  <c r="C95" i="2"/>
  <c r="D95" i="2"/>
  <c r="E95" i="2"/>
  <c r="F95" i="2"/>
  <c r="G95" i="2"/>
  <c r="H95" i="2"/>
  <c r="I95" i="2"/>
  <c r="J95" i="2"/>
  <c r="K95" i="2"/>
  <c r="C96" i="2"/>
  <c r="D96" i="2"/>
  <c r="E96" i="2"/>
  <c r="F96" i="2"/>
  <c r="G96" i="2"/>
  <c r="H96" i="2"/>
  <c r="I96" i="2"/>
  <c r="J96" i="2"/>
  <c r="K96" i="2"/>
  <c r="C97" i="2"/>
  <c r="D97" i="2"/>
  <c r="E97" i="2"/>
  <c r="F97" i="2"/>
  <c r="G97" i="2"/>
  <c r="H97" i="2"/>
  <c r="I97" i="2"/>
  <c r="J97" i="2"/>
  <c r="K97" i="2"/>
  <c r="C98" i="2"/>
  <c r="D98" i="2"/>
  <c r="E98" i="2"/>
  <c r="F98" i="2"/>
  <c r="G98" i="2"/>
  <c r="H98" i="2"/>
  <c r="I98" i="2"/>
  <c r="J98" i="2"/>
  <c r="K98" i="2"/>
  <c r="C99" i="2"/>
  <c r="D99" i="2"/>
  <c r="E99" i="2"/>
  <c r="F99" i="2"/>
  <c r="G99" i="2"/>
  <c r="H99" i="2"/>
  <c r="I99" i="2"/>
  <c r="J99" i="2"/>
  <c r="K99" i="2"/>
  <c r="C100" i="2"/>
  <c r="D100" i="2"/>
  <c r="E100" i="2"/>
  <c r="F100" i="2"/>
  <c r="G100" i="2"/>
  <c r="H100" i="2"/>
  <c r="I100" i="2"/>
  <c r="J100" i="2"/>
  <c r="K100" i="2"/>
  <c r="K2" i="2"/>
  <c r="J2" i="2"/>
  <c r="I2" i="2"/>
  <c r="H2" i="2"/>
  <c r="G2" i="2"/>
  <c r="F2" i="2"/>
  <c r="E2" i="2"/>
  <c r="D2" i="2"/>
  <c r="C2" i="2"/>
  <c r="N2" i="3" l="1"/>
  <c r="V2" i="3"/>
  <c r="O2" i="3"/>
  <c r="P2" i="3"/>
  <c r="Q2" i="3"/>
  <c r="T2" i="3"/>
  <c r="U2" i="3"/>
  <c r="R2" i="3"/>
  <c r="S2" i="3"/>
  <c r="V2" i="2"/>
  <c r="U2" i="2"/>
  <c r="T2" i="2"/>
  <c r="S2" i="2"/>
  <c r="R2" i="2"/>
  <c r="Q2" i="2"/>
  <c r="P2" i="2"/>
  <c r="O2" i="2"/>
  <c r="N2" i="2"/>
</calcChain>
</file>

<file path=xl/sharedStrings.xml><?xml version="1.0" encoding="utf-8"?>
<sst xmlns="http://schemas.openxmlformats.org/spreadsheetml/2006/main" count="124" uniqueCount="40">
  <si>
    <t>Exercise</t>
  </si>
  <si>
    <t>Chest</t>
  </si>
  <si>
    <t>Shoulder</t>
  </si>
  <si>
    <t>Back</t>
  </si>
  <si>
    <t>Triceps</t>
  </si>
  <si>
    <t>Biceps</t>
  </si>
  <si>
    <t>Abs</t>
  </si>
  <si>
    <t>Quads</t>
  </si>
  <si>
    <t>Hamstrings</t>
  </si>
  <si>
    <t>Glutes</t>
  </si>
  <si>
    <t>Incline Dumbbell Bench Press</t>
  </si>
  <si>
    <t>Standing Military Shoulder Press</t>
  </si>
  <si>
    <t>Flat Barbell Bench Press</t>
  </si>
  <si>
    <t>Incline Bench Cable Fly</t>
  </si>
  <si>
    <t>Pec Deck</t>
  </si>
  <si>
    <t>Dumbbell Lateral Raises</t>
  </si>
  <si>
    <t>Cable Lateral Raises</t>
  </si>
  <si>
    <t>Cable Overhead Extension</t>
  </si>
  <si>
    <t>Cable Pushdown</t>
  </si>
  <si>
    <t>Chest-Supported Rows</t>
  </si>
  <si>
    <t>Wide-Grip Lat Pulldown</t>
  </si>
  <si>
    <t>Neutral-Grip Lat Pulldown</t>
  </si>
  <si>
    <t>Reverse Pec Deck</t>
  </si>
  <si>
    <t>Dumbbell Curls</t>
  </si>
  <si>
    <t>Hammer Curls</t>
  </si>
  <si>
    <t>Seated Cable Rows</t>
  </si>
  <si>
    <t>Chin-Ups</t>
  </si>
  <si>
    <t>Behind-the-Back Cable Curl</t>
  </si>
  <si>
    <t>Barbell Squats</t>
  </si>
  <si>
    <t>45-Degree Leg Press</t>
  </si>
  <si>
    <t>Leg Extension</t>
  </si>
  <si>
    <t>Romanian Deadlift</t>
  </si>
  <si>
    <t>Lying Hamstring Curl</t>
  </si>
  <si>
    <t>Cable Crunches</t>
  </si>
  <si>
    <t>Roman Chair Knee Raises</t>
  </si>
  <si>
    <t>Sets</t>
  </si>
  <si>
    <t>-</t>
  </si>
  <si>
    <t>Total Number of Sets</t>
  </si>
  <si>
    <t>Rear Delt Fly</t>
  </si>
  <si>
    <t>Dumbbell Incline Bench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</si>
</sst>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04" workbookViewId="0">
      <selection activeCell="K28" sqref="K28"/>
    </sheetView>
  </sheetViews>
  <sheetFormatPr defaultColWidth="9.109375" defaultRowHeight="14.4" x14ac:dyDescent="0.3"/>
  <cols>
    <col min="1" max="1" width="27.33203125" style="1" bestFit="1" customWidth="1"/>
    <col min="2" max="8" width="9.109375" style="1"/>
    <col min="9" max="9" width="11" style="1" bestFit="1" customWidth="1"/>
    <col min="10" max="10" width="9.109375" style="1"/>
    <col min="11" max="16384" width="9.109375" style="3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>
        <v>1</v>
      </c>
      <c r="C2" s="1">
        <v>0.5</v>
      </c>
      <c r="D2" s="1">
        <v>0</v>
      </c>
      <c r="E2" s="1">
        <v>0.5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1:10" x14ac:dyDescent="0.3">
      <c r="A3" s="1" t="s">
        <v>11</v>
      </c>
      <c r="B3" s="1">
        <v>0.25</v>
      </c>
      <c r="C3" s="1">
        <v>1</v>
      </c>
      <c r="D3" s="1">
        <v>0</v>
      </c>
      <c r="E3" s="1">
        <v>0.5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1:10" x14ac:dyDescent="0.3">
      <c r="A4" s="1" t="s">
        <v>12</v>
      </c>
      <c r="B4" s="1">
        <v>1</v>
      </c>
      <c r="C4" s="1">
        <v>0.5</v>
      </c>
      <c r="D4" s="1">
        <v>0</v>
      </c>
      <c r="E4" s="1">
        <v>0.5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3">
      <c r="A5" s="1" t="s">
        <v>13</v>
      </c>
      <c r="B5" s="1">
        <v>1</v>
      </c>
      <c r="C5" s="1">
        <v>0.25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3">
      <c r="A6" s="1" t="s">
        <v>14</v>
      </c>
      <c r="B6" s="1">
        <v>1</v>
      </c>
      <c r="C6" s="1">
        <v>0.25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3">
      <c r="A7" s="1" t="s">
        <v>15</v>
      </c>
      <c r="B7" s="1">
        <v>0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3">
      <c r="A8" s="1" t="s">
        <v>16</v>
      </c>
      <c r="B8" s="1">
        <v>0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3">
      <c r="A9" s="1" t="s">
        <v>17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3">
      <c r="A10" s="1" t="s">
        <v>18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3">
      <c r="A11" s="1" t="s">
        <v>19</v>
      </c>
      <c r="B11" s="1">
        <v>0</v>
      </c>
      <c r="C11" s="1">
        <v>0.25</v>
      </c>
      <c r="D11" s="1">
        <v>1</v>
      </c>
      <c r="E11" s="1">
        <v>0</v>
      </c>
      <c r="F11" s="1">
        <v>0.25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3">
      <c r="A12" s="1" t="s">
        <v>20</v>
      </c>
      <c r="B12" s="1">
        <v>0</v>
      </c>
      <c r="C12" s="1">
        <v>0.5</v>
      </c>
      <c r="D12" s="1">
        <v>1</v>
      </c>
      <c r="E12" s="1">
        <v>0</v>
      </c>
      <c r="F12" s="1">
        <v>0.25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3">
      <c r="A13" s="1" t="s">
        <v>21</v>
      </c>
      <c r="B13" s="1">
        <v>0</v>
      </c>
      <c r="C13" s="1">
        <v>0.25</v>
      </c>
      <c r="D13" s="1">
        <v>1</v>
      </c>
      <c r="E13" s="1">
        <v>0</v>
      </c>
      <c r="F13" s="1">
        <v>0.5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3">
      <c r="A14" s="1" t="s">
        <v>22</v>
      </c>
      <c r="B14" s="1">
        <v>0</v>
      </c>
      <c r="C14" s="1">
        <v>1</v>
      </c>
      <c r="D14" s="1">
        <v>0.5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3">
      <c r="A15" s="1" t="s">
        <v>23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3">
      <c r="A16" s="1" t="s">
        <v>24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3">
      <c r="A17" s="1" t="s">
        <v>25</v>
      </c>
      <c r="B17" s="1">
        <v>0</v>
      </c>
      <c r="C17" s="1">
        <v>0.5</v>
      </c>
      <c r="D17" s="1">
        <v>1</v>
      </c>
      <c r="E17" s="1">
        <v>0</v>
      </c>
      <c r="F17" s="1">
        <v>0.25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3">
      <c r="A18" s="1" t="s">
        <v>26</v>
      </c>
      <c r="B18" s="1">
        <v>0</v>
      </c>
      <c r="C18" s="1">
        <v>0.25</v>
      </c>
      <c r="D18" s="1">
        <v>1</v>
      </c>
      <c r="E18" s="1">
        <v>0</v>
      </c>
      <c r="F18" s="1">
        <v>0.75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3">
      <c r="A19" s="1" t="s">
        <v>27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3">
      <c r="A20" s="1" t="s">
        <v>28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</v>
      </c>
      <c r="I20" s="1">
        <v>0.5</v>
      </c>
      <c r="J20" s="1">
        <v>0.5</v>
      </c>
    </row>
    <row r="21" spans="1:10" x14ac:dyDescent="0.3">
      <c r="A21" s="1" t="s">
        <v>29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0.5</v>
      </c>
      <c r="J21" s="1">
        <v>0.5</v>
      </c>
    </row>
    <row r="22" spans="1:10" x14ac:dyDescent="0.3">
      <c r="A22" s="1" t="s">
        <v>30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1</v>
      </c>
      <c r="I22" s="1">
        <v>0</v>
      </c>
      <c r="J22" s="1">
        <v>0</v>
      </c>
    </row>
    <row r="23" spans="1:10" x14ac:dyDescent="0.3">
      <c r="A23" s="1" t="s">
        <v>31</v>
      </c>
      <c r="B23" s="1">
        <v>0</v>
      </c>
      <c r="C23" s="1">
        <v>0</v>
      </c>
      <c r="D23" s="1">
        <v>0.5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0.5</v>
      </c>
    </row>
    <row r="24" spans="1:10" x14ac:dyDescent="0.3">
      <c r="A24" s="1" t="s">
        <v>32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0</v>
      </c>
    </row>
    <row r="25" spans="1:10" x14ac:dyDescent="0.3">
      <c r="A25" s="1" t="s">
        <v>33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</row>
    <row r="26" spans="1:10" x14ac:dyDescent="0.3">
      <c r="A26" s="1" t="s">
        <v>34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</row>
    <row r="27" spans="1:10" x14ac:dyDescent="0.3">
      <c r="A27" s="1" t="s">
        <v>38</v>
      </c>
      <c r="B27" s="1">
        <v>0</v>
      </c>
      <c r="C27" s="1">
        <v>1</v>
      </c>
      <c r="D27" s="1">
        <v>0.25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3">
      <c r="A28" s="1" t="s">
        <v>39</v>
      </c>
      <c r="B28" s="1">
        <v>0</v>
      </c>
      <c r="C28" s="1">
        <v>0.25</v>
      </c>
      <c r="D28" s="1">
        <v>1</v>
      </c>
      <c r="E28" s="1">
        <v>0</v>
      </c>
      <c r="F28" s="1">
        <v>0.5</v>
      </c>
      <c r="G28" s="1">
        <v>0.25</v>
      </c>
      <c r="H28" s="1">
        <v>0</v>
      </c>
      <c r="I28" s="1">
        <v>0</v>
      </c>
      <c r="J2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3518-170F-4A4E-B62A-38D794BAF4F9}">
  <dimension ref="A1:V100"/>
  <sheetViews>
    <sheetView tabSelected="1" workbookViewId="0">
      <selection activeCell="N12" sqref="N12"/>
    </sheetView>
  </sheetViews>
  <sheetFormatPr defaultColWidth="9.109375" defaultRowHeight="14.4" x14ac:dyDescent="0.3"/>
  <cols>
    <col min="1" max="1" width="29.109375" style="1" bestFit="1" customWidth="1"/>
    <col min="2" max="8" width="9.109375" style="1"/>
    <col min="9" max="9" width="6.88671875" style="1" bestFit="1" customWidth="1"/>
    <col min="10" max="10" width="11.44140625" style="1" bestFit="1" customWidth="1"/>
    <col min="11" max="11" width="9.109375" style="1"/>
    <col min="12" max="12" width="9.109375" style="3"/>
    <col min="13" max="13" width="19.88671875" style="3" bestFit="1" customWidth="1"/>
    <col min="14" max="20" width="9.109375" style="3"/>
    <col min="21" max="21" width="11.44140625" style="3" bestFit="1" customWidth="1"/>
    <col min="22" max="16384" width="9.109375" style="3"/>
  </cols>
  <sheetData>
    <row r="1" spans="1:22" x14ac:dyDescent="0.3">
      <c r="A1" s="2" t="s">
        <v>0</v>
      </c>
      <c r="B1" s="2" t="s">
        <v>35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5" t="s">
        <v>36</v>
      </c>
      <c r="N1" s="4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</row>
    <row r="2" spans="1:22" x14ac:dyDescent="0.3">
      <c r="A2" s="1" t="s">
        <v>10</v>
      </c>
      <c r="B2" s="1">
        <v>3</v>
      </c>
      <c r="C2" s="1">
        <f>IFERROR(VLOOKUP(A2, 'Exercise Database'!A:J, 2, FALSE) * B2, "")</f>
        <v>3</v>
      </c>
      <c r="D2" s="1">
        <f>IFERROR(VLOOKUP(A2, 'Exercise Database'!A:J, 3, FALSE) * B2, "")</f>
        <v>1.5</v>
      </c>
      <c r="E2" s="1">
        <f>IFERROR(VLOOKUP(A2, 'Exercise Database'!A:J, 4, FALSE) * B2, "")</f>
        <v>0</v>
      </c>
      <c r="F2" s="1">
        <f>IFERROR(VLOOKUP(A2, 'Exercise Database'!A:J, 5, FALSE) * B2, "")</f>
        <v>1.5</v>
      </c>
      <c r="G2" s="1">
        <f>IFERROR(VLOOKUP(A2, 'Exercise Database'!A:J, 6, FALSE) * B2, "")</f>
        <v>0</v>
      </c>
      <c r="H2" s="1">
        <f>IFERROR(VLOOKUP(A2, 'Exercise Database'!A:J, 7, FALSE) * B2, "")</f>
        <v>0</v>
      </c>
      <c r="I2" s="1">
        <f>IFERROR(VLOOKUP(A2, 'Exercise Database'!A:J, 8, FALSE) * B2, "")</f>
        <v>0</v>
      </c>
      <c r="J2" s="1">
        <f>IFERROR(VLOOKUP(A2, 'Exercise Database'!A:J, 9, FALSE) * B2, "")</f>
        <v>0</v>
      </c>
      <c r="K2" s="1">
        <f>IFERROR(VLOOKUP(A2, 'Exercise Database'!A:J, 10, FALSE) * B2, "")</f>
        <v>0</v>
      </c>
      <c r="M2" s="6" t="s">
        <v>37</v>
      </c>
      <c r="N2" s="5">
        <f>SUM(C2:C100)</f>
        <v>12.75</v>
      </c>
      <c r="O2" s="5">
        <f>SUM(D2:D100)</f>
        <v>18</v>
      </c>
      <c r="P2" s="5">
        <f>SUM(E2:E100)</f>
        <v>15</v>
      </c>
      <c r="Q2" s="5">
        <f t="shared" ref="Q2:V2" si="0">SUM(F2:F100)</f>
        <v>12</v>
      </c>
      <c r="R2" s="5">
        <f t="shared" si="0"/>
        <v>15</v>
      </c>
      <c r="S2" s="5">
        <f t="shared" si="0"/>
        <v>12.75</v>
      </c>
      <c r="T2" s="5">
        <f t="shared" si="0"/>
        <v>9</v>
      </c>
      <c r="U2" s="5">
        <f t="shared" si="0"/>
        <v>9</v>
      </c>
      <c r="V2" s="7">
        <f t="shared" si="0"/>
        <v>4.5</v>
      </c>
    </row>
    <row r="3" spans="1:22" x14ac:dyDescent="0.3">
      <c r="A3" s="1" t="s">
        <v>11</v>
      </c>
      <c r="B3" s="1">
        <v>3</v>
      </c>
      <c r="C3" s="1">
        <f>IFERROR(VLOOKUP(A3, 'Exercise Database'!A:J, 2, FALSE) * B3, "")</f>
        <v>0.75</v>
      </c>
      <c r="D3" s="1">
        <f>IFERROR(VLOOKUP(A3, 'Exercise Database'!A:J, 3, FALSE) * B3, "")</f>
        <v>3</v>
      </c>
      <c r="E3" s="1">
        <f>IFERROR(VLOOKUP(A3, 'Exercise Database'!A:J, 4, FALSE) * B3, "")</f>
        <v>0</v>
      </c>
      <c r="F3" s="1">
        <f>IFERROR(VLOOKUP(A3, 'Exercise Database'!A:J, 5, FALSE) * B3, "")</f>
        <v>1.5</v>
      </c>
      <c r="G3" s="1">
        <f>IFERROR(VLOOKUP(A3, 'Exercise Database'!A:J, 6, FALSE) * B3, "")</f>
        <v>0</v>
      </c>
      <c r="H3" s="1">
        <f>IFERROR(VLOOKUP(A3, 'Exercise Database'!A:J, 7, FALSE) * B3, "")</f>
        <v>0</v>
      </c>
      <c r="I3" s="1">
        <f>IFERROR(VLOOKUP(A3, 'Exercise Database'!A:J, 8, FALSE) * B3, "")</f>
        <v>0</v>
      </c>
      <c r="J3" s="1">
        <f>IFERROR(VLOOKUP(A3, 'Exercise Database'!A:J, 9, FALSE) * B3, "")</f>
        <v>0</v>
      </c>
      <c r="K3" s="1">
        <f>IFERROR(VLOOKUP(A3, 'Exercise Database'!A:J, 10, FALSE) * B3, "")</f>
        <v>0</v>
      </c>
    </row>
    <row r="4" spans="1:22" x14ac:dyDescent="0.3">
      <c r="A4" s="1" t="s">
        <v>12</v>
      </c>
      <c r="B4" s="1">
        <v>3</v>
      </c>
      <c r="C4" s="1">
        <f>IFERROR(VLOOKUP(A4, 'Exercise Database'!A:J, 2, FALSE) * B4, "")</f>
        <v>3</v>
      </c>
      <c r="D4" s="1">
        <f>IFERROR(VLOOKUP(A4, 'Exercise Database'!A:J, 3, FALSE) * B4, "")</f>
        <v>1.5</v>
      </c>
      <c r="E4" s="1">
        <f>IFERROR(VLOOKUP(A4, 'Exercise Database'!A:J, 4, FALSE) * B4, "")</f>
        <v>0</v>
      </c>
      <c r="F4" s="1">
        <f>IFERROR(VLOOKUP(A4, 'Exercise Database'!A:J, 5, FALSE) * B4, "")</f>
        <v>1.5</v>
      </c>
      <c r="G4" s="1">
        <f>IFERROR(VLOOKUP(A4, 'Exercise Database'!A:J, 6, FALSE) * B4, "")</f>
        <v>0</v>
      </c>
      <c r="H4" s="1">
        <f>IFERROR(VLOOKUP(A4, 'Exercise Database'!A:J, 7, FALSE) * B4, "")</f>
        <v>0</v>
      </c>
      <c r="I4" s="1">
        <f>IFERROR(VLOOKUP(A4, 'Exercise Database'!A:J, 8, FALSE) * B4, "")</f>
        <v>0</v>
      </c>
      <c r="J4" s="1">
        <f>IFERROR(VLOOKUP(A4, 'Exercise Database'!A:J, 9, FALSE) * B4, "")</f>
        <v>0</v>
      </c>
      <c r="K4" s="1">
        <f>IFERROR(VLOOKUP(A4, 'Exercise Database'!A:J, 10, FALSE) * B4, "")</f>
        <v>0</v>
      </c>
    </row>
    <row r="5" spans="1:22" x14ac:dyDescent="0.3">
      <c r="A5" s="1" t="s">
        <v>16</v>
      </c>
      <c r="B5" s="1">
        <v>3</v>
      </c>
      <c r="C5" s="1">
        <f>IFERROR(VLOOKUP(A5, 'Exercise Database'!A:J, 2, FALSE) * B5, "")</f>
        <v>0</v>
      </c>
      <c r="D5" s="1">
        <f>IFERROR(VLOOKUP(A5, 'Exercise Database'!A:J, 3, FALSE) * B5, "")</f>
        <v>3</v>
      </c>
      <c r="E5" s="1">
        <f>IFERROR(VLOOKUP(A5, 'Exercise Database'!A:J, 4, FALSE) * B5, "")</f>
        <v>0</v>
      </c>
      <c r="F5" s="1">
        <f>IFERROR(VLOOKUP(A5, 'Exercise Database'!A:J, 5, FALSE) * B5, "")</f>
        <v>0</v>
      </c>
      <c r="G5" s="1">
        <f>IFERROR(VLOOKUP(A5, 'Exercise Database'!A:J, 6, FALSE) * B5, "")</f>
        <v>0</v>
      </c>
      <c r="H5" s="1">
        <f>IFERROR(VLOOKUP(A5, 'Exercise Database'!A:J, 7, FALSE) * B5, "")</f>
        <v>0</v>
      </c>
      <c r="I5" s="1">
        <f>IFERROR(VLOOKUP(A5, 'Exercise Database'!A:J, 8, FALSE) * B5, "")</f>
        <v>0</v>
      </c>
      <c r="J5" s="1">
        <f>IFERROR(VLOOKUP(A5, 'Exercise Database'!A:J, 9, FALSE) * B5, "")</f>
        <v>0</v>
      </c>
      <c r="K5" s="1">
        <f>IFERROR(VLOOKUP(A5, 'Exercise Database'!A:J, 10, FALSE) * B5, "")</f>
        <v>0</v>
      </c>
    </row>
    <row r="6" spans="1:22" x14ac:dyDescent="0.3">
      <c r="A6" s="1" t="s">
        <v>17</v>
      </c>
      <c r="B6" s="1">
        <v>3</v>
      </c>
      <c r="C6" s="1">
        <f>IFERROR(VLOOKUP(A6, 'Exercise Database'!A:J, 2, FALSE) * B6, "")</f>
        <v>0</v>
      </c>
      <c r="D6" s="1">
        <f>IFERROR(VLOOKUP(A6, 'Exercise Database'!A:J, 3, FALSE) * B6, "")</f>
        <v>0</v>
      </c>
      <c r="E6" s="1">
        <f>IFERROR(VLOOKUP(A6, 'Exercise Database'!A:J, 4, FALSE) * B6, "")</f>
        <v>0</v>
      </c>
      <c r="F6" s="1">
        <f>IFERROR(VLOOKUP(A6, 'Exercise Database'!A:J, 5, FALSE) * B6, "")</f>
        <v>3</v>
      </c>
      <c r="G6" s="1">
        <f>IFERROR(VLOOKUP(A6, 'Exercise Database'!A:J, 6, FALSE) * B6, "")</f>
        <v>0</v>
      </c>
      <c r="H6" s="1">
        <f>IFERROR(VLOOKUP(A6, 'Exercise Database'!A:J, 7, FALSE) * B6, "")</f>
        <v>0</v>
      </c>
      <c r="I6" s="1">
        <f>IFERROR(VLOOKUP(A6, 'Exercise Database'!A:J, 8, FALSE) * B6, "")</f>
        <v>0</v>
      </c>
      <c r="J6" s="1">
        <f>IFERROR(VLOOKUP(A6, 'Exercise Database'!A:J, 9, FALSE) * B6, "")</f>
        <v>0</v>
      </c>
      <c r="K6" s="1">
        <f>IFERROR(VLOOKUP(A6, 'Exercise Database'!A:J, 10, FALSE) * B6, "")</f>
        <v>0</v>
      </c>
    </row>
    <row r="7" spans="1:22" x14ac:dyDescent="0.3">
      <c r="A7" s="1" t="s">
        <v>18</v>
      </c>
      <c r="B7" s="1">
        <v>3</v>
      </c>
      <c r="C7" s="1">
        <f>IFERROR(VLOOKUP(A7, 'Exercise Database'!A:J, 2, FALSE) * B7, "")</f>
        <v>0</v>
      </c>
      <c r="D7" s="1">
        <f>IFERROR(VLOOKUP(A7, 'Exercise Database'!A:J, 3, FALSE) * B7, "")</f>
        <v>0</v>
      </c>
      <c r="E7" s="1">
        <f>IFERROR(VLOOKUP(A7, 'Exercise Database'!A:J, 4, FALSE) * B7, "")</f>
        <v>0</v>
      </c>
      <c r="F7" s="1">
        <f>IFERROR(VLOOKUP(A7, 'Exercise Database'!A:J, 5, FALSE) * B7, "")</f>
        <v>3</v>
      </c>
      <c r="G7" s="1">
        <f>IFERROR(VLOOKUP(A7, 'Exercise Database'!A:J, 6, FALSE) * B7, "")</f>
        <v>0</v>
      </c>
      <c r="H7" s="1">
        <f>IFERROR(VLOOKUP(A7, 'Exercise Database'!A:J, 7, FALSE) * B7, "")</f>
        <v>0</v>
      </c>
      <c r="I7" s="1">
        <f>IFERROR(VLOOKUP(A7, 'Exercise Database'!A:J, 8, FALSE) * B7, "")</f>
        <v>0</v>
      </c>
      <c r="J7" s="1">
        <f>IFERROR(VLOOKUP(A7, 'Exercise Database'!A:J, 9, FALSE) * B7, "")</f>
        <v>0</v>
      </c>
      <c r="K7" s="1">
        <f>IFERROR(VLOOKUP(A7, 'Exercise Database'!A:J, 10, FALSE) * B7, "")</f>
        <v>0</v>
      </c>
    </row>
    <row r="8" spans="1:22" x14ac:dyDescent="0.3">
      <c r="A8" s="1" t="s">
        <v>39</v>
      </c>
      <c r="B8" s="1">
        <v>3</v>
      </c>
      <c r="C8" s="1">
        <f>IFERROR(VLOOKUP(A8, 'Exercise Database'!A:J, 2, FALSE) * B8, "")</f>
        <v>0</v>
      </c>
      <c r="D8" s="1">
        <f>IFERROR(VLOOKUP(A8, 'Exercise Database'!A:J, 3, FALSE) * B8, "")</f>
        <v>0.75</v>
      </c>
      <c r="E8" s="1">
        <f>IFERROR(VLOOKUP(A8, 'Exercise Database'!A:J, 4, FALSE) * B8, "")</f>
        <v>3</v>
      </c>
      <c r="F8" s="1">
        <f>IFERROR(VLOOKUP(A8, 'Exercise Database'!A:J, 5, FALSE) * B8, "")</f>
        <v>0</v>
      </c>
      <c r="G8" s="1">
        <f>IFERROR(VLOOKUP(A8, 'Exercise Database'!A:J, 6, FALSE) * B8, "")</f>
        <v>1.5</v>
      </c>
      <c r="H8" s="1">
        <f>IFERROR(VLOOKUP(A8, 'Exercise Database'!A:J, 7, FALSE) * B8, "")</f>
        <v>0.75</v>
      </c>
      <c r="I8" s="1">
        <f>IFERROR(VLOOKUP(A8, 'Exercise Database'!A:J, 8, FALSE) * B8, "")</f>
        <v>0</v>
      </c>
      <c r="J8" s="1">
        <f>IFERROR(VLOOKUP(A8, 'Exercise Database'!A:J, 9, FALSE) * B8, "")</f>
        <v>0</v>
      </c>
      <c r="K8" s="1">
        <f>IFERROR(VLOOKUP(A8, 'Exercise Database'!A:J, 10, FALSE) * B8, "")</f>
        <v>0</v>
      </c>
    </row>
    <row r="9" spans="1:22" x14ac:dyDescent="0.3">
      <c r="A9" s="1" t="s">
        <v>21</v>
      </c>
      <c r="B9" s="1">
        <v>3</v>
      </c>
      <c r="C9" s="1">
        <f>IFERROR(VLOOKUP(A9, 'Exercise Database'!A:J, 2, FALSE) * B9, "")</f>
        <v>0</v>
      </c>
      <c r="D9" s="1">
        <f>IFERROR(VLOOKUP(A9, 'Exercise Database'!A:J, 3, FALSE) * B9, "")</f>
        <v>0.75</v>
      </c>
      <c r="E9" s="1">
        <f>IFERROR(VLOOKUP(A9, 'Exercise Database'!A:J, 4, FALSE) * B9, "")</f>
        <v>3</v>
      </c>
      <c r="F9" s="1">
        <f>IFERROR(VLOOKUP(A9, 'Exercise Database'!A:J, 5, FALSE) * B9, "")</f>
        <v>0</v>
      </c>
      <c r="G9" s="1">
        <f>IFERROR(VLOOKUP(A9, 'Exercise Database'!A:J, 6, FALSE) * B9, "")</f>
        <v>1.5</v>
      </c>
      <c r="H9" s="1">
        <f>IFERROR(VLOOKUP(A9, 'Exercise Database'!A:J, 7, FALSE) * B9, "")</f>
        <v>0</v>
      </c>
      <c r="I9" s="1">
        <f>IFERROR(VLOOKUP(A9, 'Exercise Database'!A:J, 8, FALSE) * B9, "")</f>
        <v>0</v>
      </c>
      <c r="J9" s="1">
        <f>IFERROR(VLOOKUP(A9, 'Exercise Database'!A:J, 9, FALSE) * B9, "")</f>
        <v>0</v>
      </c>
      <c r="K9" s="1">
        <f>IFERROR(VLOOKUP(A9, 'Exercise Database'!A:J, 10, FALSE) * B9, "")</f>
        <v>0</v>
      </c>
    </row>
    <row r="10" spans="1:22" x14ac:dyDescent="0.3">
      <c r="A10" s="1" t="s">
        <v>22</v>
      </c>
      <c r="B10" s="1">
        <v>3</v>
      </c>
      <c r="C10" s="1">
        <f>IFERROR(VLOOKUP(A10, 'Exercise Database'!A:J, 2, FALSE) * B10, "")</f>
        <v>0</v>
      </c>
      <c r="D10" s="1">
        <f>IFERROR(VLOOKUP(A10, 'Exercise Database'!A:J, 3, FALSE) * B10, "")</f>
        <v>3</v>
      </c>
      <c r="E10" s="1">
        <f>IFERROR(VLOOKUP(A10, 'Exercise Database'!A:J, 4, FALSE) * B10, "")</f>
        <v>1.5</v>
      </c>
      <c r="F10" s="1">
        <f>IFERROR(VLOOKUP(A10, 'Exercise Database'!A:J, 5, FALSE) * B10, "")</f>
        <v>0</v>
      </c>
      <c r="G10" s="1">
        <f>IFERROR(VLOOKUP(A10, 'Exercise Database'!A:J, 6, FALSE) * B10, "")</f>
        <v>0</v>
      </c>
      <c r="H10" s="1">
        <f>IFERROR(VLOOKUP(A10, 'Exercise Database'!A:J, 7, FALSE) * B10, "")</f>
        <v>0</v>
      </c>
      <c r="I10" s="1">
        <f>IFERROR(VLOOKUP(A10, 'Exercise Database'!A:J, 8, FALSE) * B10, "")</f>
        <v>0</v>
      </c>
      <c r="J10" s="1">
        <f>IFERROR(VLOOKUP(A10, 'Exercise Database'!A:J, 9, FALSE) * B10, "")</f>
        <v>0</v>
      </c>
      <c r="K10" s="1">
        <f>IFERROR(VLOOKUP(A10, 'Exercise Database'!A:J, 10, FALSE) * B10, "")</f>
        <v>0</v>
      </c>
    </row>
    <row r="11" spans="1:22" x14ac:dyDescent="0.3">
      <c r="A11" s="1" t="s">
        <v>23</v>
      </c>
      <c r="B11" s="1">
        <v>3</v>
      </c>
      <c r="C11" s="1">
        <f>IFERROR(VLOOKUP(A11, 'Exercise Database'!A:J, 2, FALSE) * B11, "")</f>
        <v>0</v>
      </c>
      <c r="D11" s="1">
        <f>IFERROR(VLOOKUP(A11, 'Exercise Database'!A:J, 3, FALSE) * B11, "")</f>
        <v>0</v>
      </c>
      <c r="E11" s="1">
        <f>IFERROR(VLOOKUP(A11, 'Exercise Database'!A:J, 4, FALSE) * B11, "")</f>
        <v>0</v>
      </c>
      <c r="F11" s="1">
        <f>IFERROR(VLOOKUP(A11, 'Exercise Database'!A:J, 5, FALSE) * B11, "")</f>
        <v>0</v>
      </c>
      <c r="G11" s="1">
        <f>IFERROR(VLOOKUP(A11, 'Exercise Database'!A:J, 6, FALSE) * B11, "")</f>
        <v>3</v>
      </c>
      <c r="H11" s="1">
        <f>IFERROR(VLOOKUP(A11, 'Exercise Database'!A:J, 7, FALSE) * B11, "")</f>
        <v>0</v>
      </c>
      <c r="I11" s="1">
        <f>IFERROR(VLOOKUP(A11, 'Exercise Database'!A:J, 8, FALSE) * B11, "")</f>
        <v>0</v>
      </c>
      <c r="J11" s="1">
        <f>IFERROR(VLOOKUP(A11, 'Exercise Database'!A:J, 9, FALSE) * B11, "")</f>
        <v>0</v>
      </c>
      <c r="K11" s="1">
        <f>IFERROR(VLOOKUP(A11, 'Exercise Database'!A:J, 10, FALSE) * B11, "")</f>
        <v>0</v>
      </c>
    </row>
    <row r="12" spans="1:22" x14ac:dyDescent="0.3">
      <c r="A12" s="1" t="s">
        <v>24</v>
      </c>
      <c r="B12" s="1">
        <v>3</v>
      </c>
      <c r="C12" s="1">
        <f>IFERROR(VLOOKUP(A12, 'Exercise Database'!A:J, 2, FALSE) * B12, "")</f>
        <v>0</v>
      </c>
      <c r="D12" s="1">
        <f>IFERROR(VLOOKUP(A12, 'Exercise Database'!A:J, 3, FALSE) * B12, "")</f>
        <v>0</v>
      </c>
      <c r="E12" s="1">
        <f>IFERROR(VLOOKUP(A12, 'Exercise Database'!A:J, 4, FALSE) * B12, "")</f>
        <v>0</v>
      </c>
      <c r="F12" s="1">
        <f>IFERROR(VLOOKUP(A12, 'Exercise Database'!A:J, 5, FALSE) * B12, "")</f>
        <v>0</v>
      </c>
      <c r="G12" s="1">
        <f>IFERROR(VLOOKUP(A12, 'Exercise Database'!A:J, 6, FALSE) * B12, "")</f>
        <v>3</v>
      </c>
      <c r="H12" s="1">
        <f>IFERROR(VLOOKUP(A12, 'Exercise Database'!A:J, 7, FALSE) * B12, "")</f>
        <v>0</v>
      </c>
      <c r="I12" s="1">
        <f>IFERROR(VLOOKUP(A12, 'Exercise Database'!A:J, 8, FALSE) * B12, "")</f>
        <v>0</v>
      </c>
      <c r="J12" s="1">
        <f>IFERROR(VLOOKUP(A12, 'Exercise Database'!A:J, 9, FALSE) * B12, "")</f>
        <v>0</v>
      </c>
      <c r="K12" s="1">
        <f>IFERROR(VLOOKUP(A12, 'Exercise Database'!A:J, 10, FALSE) * B12, "")</f>
        <v>0</v>
      </c>
    </row>
    <row r="13" spans="1:22" x14ac:dyDescent="0.3">
      <c r="A13" s="1" t="s">
        <v>10</v>
      </c>
      <c r="B13" s="1">
        <v>3</v>
      </c>
      <c r="C13" s="1">
        <f>IFERROR(VLOOKUP(A13, 'Exercise Database'!A:J, 2, FALSE) * B13, "")</f>
        <v>3</v>
      </c>
      <c r="D13" s="1">
        <f>IFERROR(VLOOKUP(A13, 'Exercise Database'!A:J, 3, FALSE) * B13, "")</f>
        <v>1.5</v>
      </c>
      <c r="E13" s="1">
        <f>IFERROR(VLOOKUP(A13, 'Exercise Database'!A:J, 4, FALSE) * B13, "")</f>
        <v>0</v>
      </c>
      <c r="F13" s="1">
        <f>IFERROR(VLOOKUP(A13, 'Exercise Database'!A:J, 5, FALSE) * B13, "")</f>
        <v>1.5</v>
      </c>
      <c r="G13" s="1">
        <f>IFERROR(VLOOKUP(A13, 'Exercise Database'!A:J, 6, FALSE) * B13, "")</f>
        <v>0</v>
      </c>
      <c r="H13" s="1">
        <f>IFERROR(VLOOKUP(A13, 'Exercise Database'!A:J, 7, FALSE) * B13, "")</f>
        <v>0</v>
      </c>
      <c r="I13" s="1">
        <f>IFERROR(VLOOKUP(A13, 'Exercise Database'!A:J, 8, FALSE) * B13, "")</f>
        <v>0</v>
      </c>
      <c r="J13" s="1">
        <f>IFERROR(VLOOKUP(A13, 'Exercise Database'!A:J, 9, FALSE) * B13, "")</f>
        <v>0</v>
      </c>
      <c r="K13" s="1">
        <f>IFERROR(VLOOKUP(A13, 'Exercise Database'!A:J, 10, FALSE) * B13, "")</f>
        <v>0</v>
      </c>
    </row>
    <row r="14" spans="1:22" x14ac:dyDescent="0.3">
      <c r="A14" s="1" t="s">
        <v>14</v>
      </c>
      <c r="B14" s="1">
        <v>3</v>
      </c>
      <c r="C14" s="1">
        <f>IFERROR(VLOOKUP(A14, 'Exercise Database'!A:J, 2, FALSE) * B14, "")</f>
        <v>3</v>
      </c>
      <c r="D14" s="1">
        <f>IFERROR(VLOOKUP(A14, 'Exercise Database'!A:J, 3, FALSE) * B14, "")</f>
        <v>0.75</v>
      </c>
      <c r="E14" s="1">
        <f>IFERROR(VLOOKUP(A14, 'Exercise Database'!A:J, 4, FALSE) * B14, "")</f>
        <v>0</v>
      </c>
      <c r="F14" s="1">
        <f>IFERROR(VLOOKUP(A14, 'Exercise Database'!A:J, 5, FALSE) * B14, "")</f>
        <v>0</v>
      </c>
      <c r="G14" s="1">
        <f>IFERROR(VLOOKUP(A14, 'Exercise Database'!A:J, 6, FALSE) * B14, "")</f>
        <v>0</v>
      </c>
      <c r="H14" s="1">
        <f>IFERROR(VLOOKUP(A14, 'Exercise Database'!A:J, 7, FALSE) * B14, "")</f>
        <v>0</v>
      </c>
      <c r="I14" s="1">
        <f>IFERROR(VLOOKUP(A14, 'Exercise Database'!A:J, 8, FALSE) * B14, "")</f>
        <v>0</v>
      </c>
      <c r="J14" s="1">
        <f>IFERROR(VLOOKUP(A14, 'Exercise Database'!A:J, 9, FALSE) * B14, "")</f>
        <v>0</v>
      </c>
      <c r="K14" s="1">
        <f>IFERROR(VLOOKUP(A14, 'Exercise Database'!A:J, 10, FALSE) * B14, "")</f>
        <v>0</v>
      </c>
    </row>
    <row r="15" spans="1:22" x14ac:dyDescent="0.3">
      <c r="A15" s="1" t="s">
        <v>25</v>
      </c>
      <c r="B15" s="1">
        <v>3</v>
      </c>
      <c r="C15" s="1">
        <f>IFERROR(VLOOKUP(A15, 'Exercise Database'!A:J, 2, FALSE) * B15, "")</f>
        <v>0</v>
      </c>
      <c r="D15" s="1">
        <f>IFERROR(VLOOKUP(A15, 'Exercise Database'!A:J, 3, FALSE) * B15, "")</f>
        <v>1.5</v>
      </c>
      <c r="E15" s="1">
        <f>IFERROR(VLOOKUP(A15, 'Exercise Database'!A:J, 4, FALSE) * B15, "")</f>
        <v>3</v>
      </c>
      <c r="F15" s="1">
        <f>IFERROR(VLOOKUP(A15, 'Exercise Database'!A:J, 5, FALSE) * B15, "")</f>
        <v>0</v>
      </c>
      <c r="G15" s="1">
        <f>IFERROR(VLOOKUP(A15, 'Exercise Database'!A:J, 6, FALSE) * B15, "")</f>
        <v>0.75</v>
      </c>
      <c r="H15" s="1">
        <f>IFERROR(VLOOKUP(A15, 'Exercise Database'!A:J, 7, FALSE) * B15, "")</f>
        <v>0</v>
      </c>
      <c r="I15" s="1">
        <f>IFERROR(VLOOKUP(A15, 'Exercise Database'!A:J, 8, FALSE) * B15, "")</f>
        <v>0</v>
      </c>
      <c r="J15" s="1">
        <f>IFERROR(VLOOKUP(A15, 'Exercise Database'!A:J, 9, FALSE) * B15, "")</f>
        <v>0</v>
      </c>
      <c r="K15" s="1">
        <f>IFERROR(VLOOKUP(A15, 'Exercise Database'!A:J, 10, FALSE) * B15, "")</f>
        <v>0</v>
      </c>
    </row>
    <row r="16" spans="1:22" x14ac:dyDescent="0.3">
      <c r="A16" s="1" t="s">
        <v>26</v>
      </c>
      <c r="B16" s="1">
        <v>3</v>
      </c>
      <c r="C16" s="1">
        <f>IFERROR(VLOOKUP(A16, 'Exercise Database'!A:J, 2, FALSE) * B16, "")</f>
        <v>0</v>
      </c>
      <c r="D16" s="1">
        <f>IFERROR(VLOOKUP(A16, 'Exercise Database'!A:J, 3, FALSE) * B16, "")</f>
        <v>0.75</v>
      </c>
      <c r="E16" s="1">
        <f>IFERROR(VLOOKUP(A16, 'Exercise Database'!A:J, 4, FALSE) * B16, "")</f>
        <v>3</v>
      </c>
      <c r="F16" s="1">
        <f>IFERROR(VLOOKUP(A16, 'Exercise Database'!A:J, 5, FALSE) * B16, "")</f>
        <v>0</v>
      </c>
      <c r="G16" s="1">
        <f>IFERROR(VLOOKUP(A16, 'Exercise Database'!A:J, 6, FALSE) * B16, "")</f>
        <v>2.25</v>
      </c>
      <c r="H16" s="1">
        <f>IFERROR(VLOOKUP(A16, 'Exercise Database'!A:J, 7, FALSE) * B16, "")</f>
        <v>0</v>
      </c>
      <c r="I16" s="1">
        <f>IFERROR(VLOOKUP(A16, 'Exercise Database'!A:J, 8, FALSE) * B16, "")</f>
        <v>0</v>
      </c>
      <c r="J16" s="1">
        <f>IFERROR(VLOOKUP(A16, 'Exercise Database'!A:J, 9, FALSE) * B16, "")</f>
        <v>0</v>
      </c>
      <c r="K16" s="1">
        <f>IFERROR(VLOOKUP(A16, 'Exercise Database'!A:J, 10, FALSE) * B16, "")</f>
        <v>0</v>
      </c>
    </row>
    <row r="17" spans="1:11" x14ac:dyDescent="0.3">
      <c r="A17" s="1" t="s">
        <v>27</v>
      </c>
      <c r="B17" s="1">
        <v>3</v>
      </c>
      <c r="C17" s="1">
        <f>IFERROR(VLOOKUP(A17, 'Exercise Database'!A:J, 2, FALSE) * B17, "")</f>
        <v>0</v>
      </c>
      <c r="D17" s="1">
        <f>IFERROR(VLOOKUP(A17, 'Exercise Database'!A:J, 3, FALSE) * B17, "")</f>
        <v>0</v>
      </c>
      <c r="E17" s="1">
        <f>IFERROR(VLOOKUP(A17, 'Exercise Database'!A:J, 4, FALSE) * B17, "")</f>
        <v>0</v>
      </c>
      <c r="F17" s="1">
        <f>IFERROR(VLOOKUP(A17, 'Exercise Database'!A:J, 5, FALSE) * B17, "")</f>
        <v>0</v>
      </c>
      <c r="G17" s="1">
        <f>IFERROR(VLOOKUP(A17, 'Exercise Database'!A:J, 6, FALSE) * B17, "")</f>
        <v>3</v>
      </c>
      <c r="H17" s="1">
        <f>IFERROR(VLOOKUP(A17, 'Exercise Database'!A:J, 7, FALSE) * B17, "")</f>
        <v>0</v>
      </c>
      <c r="I17" s="1">
        <f>IFERROR(VLOOKUP(A17, 'Exercise Database'!A:J, 8, FALSE) * B17, "")</f>
        <v>0</v>
      </c>
      <c r="J17" s="1">
        <f>IFERROR(VLOOKUP(A17, 'Exercise Database'!A:J, 9, FALSE) * B17, "")</f>
        <v>0</v>
      </c>
      <c r="K17" s="1">
        <f>IFERROR(VLOOKUP(A17, 'Exercise Database'!A:J, 10, FALSE) * B17, "")</f>
        <v>0</v>
      </c>
    </row>
    <row r="18" spans="1:11" x14ac:dyDescent="0.3">
      <c r="A18" s="1" t="s">
        <v>28</v>
      </c>
      <c r="B18" s="1">
        <v>3</v>
      </c>
      <c r="C18" s="1">
        <f>IFERROR(VLOOKUP(A18, 'Exercise Database'!A:J, 2, FALSE) * B18, "")</f>
        <v>0</v>
      </c>
      <c r="D18" s="1">
        <f>IFERROR(VLOOKUP(A18, 'Exercise Database'!A:J, 3, FALSE) * B18, "")</f>
        <v>0</v>
      </c>
      <c r="E18" s="1">
        <f>IFERROR(VLOOKUP(A18, 'Exercise Database'!A:J, 4, FALSE) * B18, "")</f>
        <v>0</v>
      </c>
      <c r="F18" s="1">
        <f>IFERROR(VLOOKUP(A18, 'Exercise Database'!A:J, 5, FALSE) * B18, "")</f>
        <v>0</v>
      </c>
      <c r="G18" s="1">
        <f>IFERROR(VLOOKUP(A18, 'Exercise Database'!A:J, 6, FALSE) * B18, "")</f>
        <v>0</v>
      </c>
      <c r="H18" s="1">
        <f>IFERROR(VLOOKUP(A18, 'Exercise Database'!A:J, 7, FALSE) * B18, "")</f>
        <v>0</v>
      </c>
      <c r="I18" s="1">
        <f>IFERROR(VLOOKUP(A18, 'Exercise Database'!A:J, 8, FALSE) * B18, "")</f>
        <v>3</v>
      </c>
      <c r="J18" s="1">
        <f>IFERROR(VLOOKUP(A18, 'Exercise Database'!A:J, 9, FALSE) * B18, "")</f>
        <v>1.5</v>
      </c>
      <c r="K18" s="1">
        <f>IFERROR(VLOOKUP(A18, 'Exercise Database'!A:J, 10, FALSE) * B18, "")</f>
        <v>1.5</v>
      </c>
    </row>
    <row r="19" spans="1:11" x14ac:dyDescent="0.3">
      <c r="A19" s="1" t="s">
        <v>29</v>
      </c>
      <c r="B19" s="1">
        <v>3</v>
      </c>
      <c r="C19" s="1">
        <f>IFERROR(VLOOKUP(A19, 'Exercise Database'!A:J, 2, FALSE) * B19, "")</f>
        <v>0</v>
      </c>
      <c r="D19" s="1">
        <f>IFERROR(VLOOKUP(A19, 'Exercise Database'!A:J, 3, FALSE) * B19, "")</f>
        <v>0</v>
      </c>
      <c r="E19" s="1">
        <f>IFERROR(VLOOKUP(A19, 'Exercise Database'!A:J, 4, FALSE) * B19, "")</f>
        <v>0</v>
      </c>
      <c r="F19" s="1">
        <f>IFERROR(VLOOKUP(A19, 'Exercise Database'!A:J, 5, FALSE) * B19, "")</f>
        <v>0</v>
      </c>
      <c r="G19" s="1">
        <f>IFERROR(VLOOKUP(A19, 'Exercise Database'!A:J, 6, FALSE) * B19, "")</f>
        <v>0</v>
      </c>
      <c r="H19" s="1">
        <f>IFERROR(VLOOKUP(A19, 'Exercise Database'!A:J, 7, FALSE) * B19, "")</f>
        <v>0</v>
      </c>
      <c r="I19" s="1">
        <f>IFERROR(VLOOKUP(A19, 'Exercise Database'!A:J, 8, FALSE) * B19, "")</f>
        <v>3</v>
      </c>
      <c r="J19" s="1">
        <f>IFERROR(VLOOKUP(A19, 'Exercise Database'!A:J, 9, FALSE) * B19, "")</f>
        <v>1.5</v>
      </c>
      <c r="K19" s="1">
        <f>IFERROR(VLOOKUP(A19, 'Exercise Database'!A:J, 10, FALSE) * B19, "")</f>
        <v>1.5</v>
      </c>
    </row>
    <row r="20" spans="1:11" x14ac:dyDescent="0.3">
      <c r="A20" s="1" t="s">
        <v>30</v>
      </c>
      <c r="B20" s="1">
        <v>3</v>
      </c>
      <c r="C20" s="1">
        <f>IFERROR(VLOOKUP(A20, 'Exercise Database'!A:J, 2, FALSE) * B20, "")</f>
        <v>0</v>
      </c>
      <c r="D20" s="1">
        <f>IFERROR(VLOOKUP(A20, 'Exercise Database'!A:J, 3, FALSE) * B20, "")</f>
        <v>0</v>
      </c>
      <c r="E20" s="1">
        <f>IFERROR(VLOOKUP(A20, 'Exercise Database'!A:J, 4, FALSE) * B20, "")</f>
        <v>0</v>
      </c>
      <c r="F20" s="1">
        <f>IFERROR(VLOOKUP(A20, 'Exercise Database'!A:J, 5, FALSE) * B20, "")</f>
        <v>0</v>
      </c>
      <c r="G20" s="1">
        <f>IFERROR(VLOOKUP(A20, 'Exercise Database'!A:J, 6, FALSE) * B20, "")</f>
        <v>0</v>
      </c>
      <c r="H20" s="1">
        <f>IFERROR(VLOOKUP(A20, 'Exercise Database'!A:J, 7, FALSE) * B20, "")</f>
        <v>0</v>
      </c>
      <c r="I20" s="1">
        <f>IFERROR(VLOOKUP(A20, 'Exercise Database'!A:J, 8, FALSE) * B20, "")</f>
        <v>3</v>
      </c>
      <c r="J20" s="1">
        <f>IFERROR(VLOOKUP(A20, 'Exercise Database'!A:J, 9, FALSE) * B20, "")</f>
        <v>0</v>
      </c>
      <c r="K20" s="1">
        <f>IFERROR(VLOOKUP(A20, 'Exercise Database'!A:J, 10, FALSE) * B20, "")</f>
        <v>0</v>
      </c>
    </row>
    <row r="21" spans="1:11" x14ac:dyDescent="0.3">
      <c r="A21" s="1" t="s">
        <v>31</v>
      </c>
      <c r="B21" s="1">
        <v>3</v>
      </c>
      <c r="C21" s="1">
        <f>IFERROR(VLOOKUP(A21, 'Exercise Database'!A:J, 2, FALSE) * B21, "")</f>
        <v>0</v>
      </c>
      <c r="D21" s="1">
        <f>IFERROR(VLOOKUP(A21, 'Exercise Database'!A:J, 3, FALSE) * B21, "")</f>
        <v>0</v>
      </c>
      <c r="E21" s="1">
        <f>IFERROR(VLOOKUP(A21, 'Exercise Database'!A:J, 4, FALSE) * B21, "")</f>
        <v>1.5</v>
      </c>
      <c r="F21" s="1">
        <f>IFERROR(VLOOKUP(A21, 'Exercise Database'!A:J, 5, FALSE) * B21, "")</f>
        <v>0</v>
      </c>
      <c r="G21" s="1">
        <f>IFERROR(VLOOKUP(A21, 'Exercise Database'!A:J, 6, FALSE) * B21, "")</f>
        <v>0</v>
      </c>
      <c r="H21" s="1">
        <f>IFERROR(VLOOKUP(A21, 'Exercise Database'!A:J, 7, FALSE) * B21, "")</f>
        <v>0</v>
      </c>
      <c r="I21" s="1">
        <f>IFERROR(VLOOKUP(A21, 'Exercise Database'!A:J, 8, FALSE) * B21, "")</f>
        <v>0</v>
      </c>
      <c r="J21" s="1">
        <f>IFERROR(VLOOKUP(A21, 'Exercise Database'!A:J, 9, FALSE) * B21, "")</f>
        <v>3</v>
      </c>
      <c r="K21" s="1">
        <f>IFERROR(VLOOKUP(A21, 'Exercise Database'!A:J, 10, FALSE) * B21, "")</f>
        <v>1.5</v>
      </c>
    </row>
    <row r="22" spans="1:11" x14ac:dyDescent="0.3">
      <c r="A22" s="1" t="s">
        <v>32</v>
      </c>
      <c r="B22" s="1">
        <v>3</v>
      </c>
      <c r="C22" s="1">
        <f>IFERROR(VLOOKUP(A22, 'Exercise Database'!A:J, 2, FALSE) * B22, "")</f>
        <v>0</v>
      </c>
      <c r="D22" s="1">
        <f>IFERROR(VLOOKUP(A22, 'Exercise Database'!A:J, 3, FALSE) * B22, "")</f>
        <v>0</v>
      </c>
      <c r="E22" s="1">
        <f>IFERROR(VLOOKUP(A22, 'Exercise Database'!A:J, 4, FALSE) * B22, "")</f>
        <v>0</v>
      </c>
      <c r="F22" s="1">
        <f>IFERROR(VLOOKUP(A22, 'Exercise Database'!A:J, 5, FALSE) * B22, "")</f>
        <v>0</v>
      </c>
      <c r="G22" s="1">
        <f>IFERROR(VLOOKUP(A22, 'Exercise Database'!A:J, 6, FALSE) * B22, "")</f>
        <v>0</v>
      </c>
      <c r="H22" s="1">
        <f>IFERROR(VLOOKUP(A22, 'Exercise Database'!A:J, 7, FALSE) * B22, "")</f>
        <v>0</v>
      </c>
      <c r="I22" s="1">
        <f>IFERROR(VLOOKUP(A22, 'Exercise Database'!A:J, 8, FALSE) * B22, "")</f>
        <v>0</v>
      </c>
      <c r="J22" s="1">
        <f>IFERROR(VLOOKUP(A22, 'Exercise Database'!A:J, 9, FALSE) * B22, "")</f>
        <v>3</v>
      </c>
      <c r="K22" s="1">
        <f>IFERROR(VLOOKUP(A22, 'Exercise Database'!A:J, 10, FALSE) * B22, "")</f>
        <v>0</v>
      </c>
    </row>
    <row r="23" spans="1:11" x14ac:dyDescent="0.3">
      <c r="A23" s="1" t="s">
        <v>33</v>
      </c>
      <c r="B23" s="1">
        <v>6</v>
      </c>
      <c r="C23" s="1">
        <f>IFERROR(VLOOKUP(A23, 'Exercise Database'!A:J, 2, FALSE) * B23, "")</f>
        <v>0</v>
      </c>
      <c r="D23" s="1">
        <f>IFERROR(VLOOKUP(A23, 'Exercise Database'!A:J, 3, FALSE) * B23, "")</f>
        <v>0</v>
      </c>
      <c r="E23" s="1">
        <f>IFERROR(VLOOKUP(A23, 'Exercise Database'!A:J, 4, FALSE) * B23, "")</f>
        <v>0</v>
      </c>
      <c r="F23" s="1">
        <f>IFERROR(VLOOKUP(A23, 'Exercise Database'!A:J, 5, FALSE) * B23, "")</f>
        <v>0</v>
      </c>
      <c r="G23" s="1">
        <f>IFERROR(VLOOKUP(A23, 'Exercise Database'!A:J, 6, FALSE) * B23, "")</f>
        <v>0</v>
      </c>
      <c r="H23" s="1">
        <f>IFERROR(VLOOKUP(A23, 'Exercise Database'!A:J, 7, FALSE) * B23, "")</f>
        <v>6</v>
      </c>
      <c r="I23" s="1">
        <f>IFERROR(VLOOKUP(A23, 'Exercise Database'!A:J, 8, FALSE) * B23, "")</f>
        <v>0</v>
      </c>
      <c r="J23" s="1">
        <f>IFERROR(VLOOKUP(A23, 'Exercise Database'!A:J, 9, FALSE) * B23, "")</f>
        <v>0</v>
      </c>
      <c r="K23" s="1">
        <f>IFERROR(VLOOKUP(A23, 'Exercise Database'!A:J, 10, FALSE) * B23, "")</f>
        <v>0</v>
      </c>
    </row>
    <row r="24" spans="1:11" x14ac:dyDescent="0.3">
      <c r="A24" s="1" t="s">
        <v>34</v>
      </c>
      <c r="B24" s="1">
        <v>6</v>
      </c>
      <c r="C24" s="1">
        <f>IFERROR(VLOOKUP(A24, 'Exercise Database'!A:J, 2, FALSE) * B24, "")</f>
        <v>0</v>
      </c>
      <c r="D24" s="1">
        <f>IFERROR(VLOOKUP(A24, 'Exercise Database'!A:J, 3, FALSE) * B24, "")</f>
        <v>0</v>
      </c>
      <c r="E24" s="1">
        <f>IFERROR(VLOOKUP(A24, 'Exercise Database'!A:J, 4, FALSE) * B24, "")</f>
        <v>0</v>
      </c>
      <c r="F24" s="1">
        <f>IFERROR(VLOOKUP(A24, 'Exercise Database'!A:J, 5, FALSE) * B24, "")</f>
        <v>0</v>
      </c>
      <c r="G24" s="1">
        <f>IFERROR(VLOOKUP(A24, 'Exercise Database'!A:J, 6, FALSE) * B24, "")</f>
        <v>0</v>
      </c>
      <c r="H24" s="1">
        <f>IFERROR(VLOOKUP(A24, 'Exercise Database'!A:J, 7, FALSE) * B24, "")</f>
        <v>6</v>
      </c>
      <c r="I24" s="1">
        <f>IFERROR(VLOOKUP(A24, 'Exercise Database'!A:J, 8, FALSE) * B24, "")</f>
        <v>0</v>
      </c>
      <c r="J24" s="1">
        <f>IFERROR(VLOOKUP(A24, 'Exercise Database'!A:J, 9, FALSE) * B24, "")</f>
        <v>0</v>
      </c>
      <c r="K24" s="1">
        <f>IFERROR(VLOOKUP(A24, 'Exercise Database'!A:J, 10, FALSE) * B24, "")</f>
        <v>0</v>
      </c>
    </row>
    <row r="25" spans="1:11" x14ac:dyDescent="0.3">
      <c r="C25" s="1" t="str">
        <f>IFERROR(VLOOKUP(A25, 'Exercise Database'!A:J, 2, FALSE) * B25, "")</f>
        <v/>
      </c>
      <c r="D25" s="1" t="str">
        <f>IFERROR(VLOOKUP(A25, 'Exercise Database'!A:J, 3, FALSE) * B25, "")</f>
        <v/>
      </c>
      <c r="E25" s="1" t="str">
        <f>IFERROR(VLOOKUP(A25, 'Exercise Database'!A:J, 4, FALSE) * B25, "")</f>
        <v/>
      </c>
      <c r="F25" s="1" t="str">
        <f>IFERROR(VLOOKUP(A25, 'Exercise Database'!A:J, 5, FALSE) * B25, "")</f>
        <v/>
      </c>
      <c r="G25" s="1" t="str">
        <f>IFERROR(VLOOKUP(A25, 'Exercise Database'!A:J, 6, FALSE) * B25, "")</f>
        <v/>
      </c>
      <c r="H25" s="1" t="str">
        <f>IFERROR(VLOOKUP(A25, 'Exercise Database'!A:J, 7, FALSE) * B25, "")</f>
        <v/>
      </c>
      <c r="I25" s="1" t="str">
        <f>IFERROR(VLOOKUP(A25, 'Exercise Database'!A:J, 8, FALSE) * B25, "")</f>
        <v/>
      </c>
      <c r="J25" s="1" t="str">
        <f>IFERROR(VLOOKUP(A25, 'Exercise Database'!A:J, 9, FALSE) * B25, "")</f>
        <v/>
      </c>
      <c r="K25" s="1" t="str">
        <f>IFERROR(VLOOKUP(A25, 'Exercise Database'!A:J, 10, FALSE) * B25, "")</f>
        <v/>
      </c>
    </row>
    <row r="26" spans="1:11" x14ac:dyDescent="0.3">
      <c r="C26" s="1" t="str">
        <f>IFERROR(VLOOKUP(A26, 'Exercise Database'!A:J, 2, FALSE) * B26, "")</f>
        <v/>
      </c>
      <c r="D26" s="1" t="str">
        <f>IFERROR(VLOOKUP(A26, 'Exercise Database'!A:J, 3, FALSE) * B26, "")</f>
        <v/>
      </c>
      <c r="E26" s="1" t="str">
        <f>IFERROR(VLOOKUP(A26, 'Exercise Database'!A:J, 4, FALSE) * B26, "")</f>
        <v/>
      </c>
      <c r="F26" s="1" t="str">
        <f>IFERROR(VLOOKUP(A26, 'Exercise Database'!A:J, 5, FALSE) * B26, "")</f>
        <v/>
      </c>
      <c r="G26" s="1" t="str">
        <f>IFERROR(VLOOKUP(A26, 'Exercise Database'!A:J, 6, FALSE) * B26, "")</f>
        <v/>
      </c>
      <c r="H26" s="1" t="str">
        <f>IFERROR(VLOOKUP(A26, 'Exercise Database'!A:J, 7, FALSE) * B26, "")</f>
        <v/>
      </c>
      <c r="I26" s="1" t="str">
        <f>IFERROR(VLOOKUP(A26, 'Exercise Database'!A:J, 8, FALSE) * B26, "")</f>
        <v/>
      </c>
      <c r="J26" s="1" t="str">
        <f>IFERROR(VLOOKUP(A26, 'Exercise Database'!A:J, 9, FALSE) * B26, "")</f>
        <v/>
      </c>
      <c r="K26" s="1" t="str">
        <f>IFERROR(VLOOKUP(A26, 'Exercise Database'!A:J, 10, FALSE) * B26, "")</f>
        <v/>
      </c>
    </row>
    <row r="27" spans="1:11" x14ac:dyDescent="0.3">
      <c r="C27" s="1" t="str">
        <f>IFERROR(VLOOKUP(A27, 'Exercise Database'!A:J, 2, FALSE) * B27, "")</f>
        <v/>
      </c>
      <c r="D27" s="1" t="str">
        <f>IFERROR(VLOOKUP(A27, 'Exercise Database'!A:J, 3, FALSE) * B27, "")</f>
        <v/>
      </c>
      <c r="E27" s="1" t="str">
        <f>IFERROR(VLOOKUP(A27, 'Exercise Database'!A:J, 4, FALSE) * B27, "")</f>
        <v/>
      </c>
      <c r="F27" s="1" t="str">
        <f>IFERROR(VLOOKUP(A27, 'Exercise Database'!A:J, 5, FALSE) * B27, "")</f>
        <v/>
      </c>
      <c r="G27" s="1" t="str">
        <f>IFERROR(VLOOKUP(A27, 'Exercise Database'!A:J, 6, FALSE) * B27, "")</f>
        <v/>
      </c>
      <c r="H27" s="1" t="str">
        <f>IFERROR(VLOOKUP(A27, 'Exercise Database'!A:J, 7, FALSE) * B27, "")</f>
        <v/>
      </c>
      <c r="I27" s="1" t="str">
        <f>IFERROR(VLOOKUP(A27, 'Exercise Database'!A:J, 8, FALSE) * B27, "")</f>
        <v/>
      </c>
      <c r="J27" s="1" t="str">
        <f>IFERROR(VLOOKUP(A27, 'Exercise Database'!A:J, 9, FALSE) * B27, "")</f>
        <v/>
      </c>
      <c r="K27" s="1" t="str">
        <f>IFERROR(VLOOKUP(A27, 'Exercise Database'!A:J, 10, FALSE) * B27, "")</f>
        <v/>
      </c>
    </row>
    <row r="28" spans="1:11" x14ac:dyDescent="0.3">
      <c r="C28" s="1" t="str">
        <f>IFERROR(VLOOKUP(A28, 'Exercise Database'!A:J, 2, FALSE) * B28, "")</f>
        <v/>
      </c>
      <c r="D28" s="1" t="str">
        <f>IFERROR(VLOOKUP(A28, 'Exercise Database'!A:J, 3, FALSE) * B28, "")</f>
        <v/>
      </c>
      <c r="E28" s="1" t="str">
        <f>IFERROR(VLOOKUP(A28, 'Exercise Database'!A:J, 4, FALSE) * B28, "")</f>
        <v/>
      </c>
      <c r="F28" s="1" t="str">
        <f>IFERROR(VLOOKUP(A28, 'Exercise Database'!A:J, 5, FALSE) * B28, "")</f>
        <v/>
      </c>
      <c r="G28" s="1" t="str">
        <f>IFERROR(VLOOKUP(A28, 'Exercise Database'!A:J, 6, FALSE) * B28, "")</f>
        <v/>
      </c>
      <c r="H28" s="1" t="str">
        <f>IFERROR(VLOOKUP(A28, 'Exercise Database'!A:J, 7, FALSE) * B28, "")</f>
        <v/>
      </c>
      <c r="I28" s="1" t="str">
        <f>IFERROR(VLOOKUP(A28, 'Exercise Database'!A:J, 8, FALSE) * B28, "")</f>
        <v/>
      </c>
      <c r="J28" s="1" t="str">
        <f>IFERROR(VLOOKUP(A28, 'Exercise Database'!A:J, 9, FALSE) * B28, "")</f>
        <v/>
      </c>
      <c r="K28" s="1" t="str">
        <f>IFERROR(VLOOKUP(A28, 'Exercise Database'!A:J, 10, FALSE) * B28, "")</f>
        <v/>
      </c>
    </row>
    <row r="29" spans="1:11" x14ac:dyDescent="0.3">
      <c r="C29" s="1" t="str">
        <f>IFERROR(VLOOKUP(A29, 'Exercise Database'!A:J, 2, FALSE) * B29, "")</f>
        <v/>
      </c>
      <c r="D29" s="1" t="str">
        <f>IFERROR(VLOOKUP(A29, 'Exercise Database'!A:J, 3, FALSE) * B29, "")</f>
        <v/>
      </c>
      <c r="E29" s="1" t="str">
        <f>IFERROR(VLOOKUP(A29, 'Exercise Database'!A:J, 4, FALSE) * B29, "")</f>
        <v/>
      </c>
      <c r="F29" s="1" t="str">
        <f>IFERROR(VLOOKUP(A29, 'Exercise Database'!A:J, 5, FALSE) * B29, "")</f>
        <v/>
      </c>
      <c r="G29" s="1" t="str">
        <f>IFERROR(VLOOKUP(A29, 'Exercise Database'!A:J, 6, FALSE) * B29, "")</f>
        <v/>
      </c>
      <c r="H29" s="1" t="str">
        <f>IFERROR(VLOOKUP(A29, 'Exercise Database'!A:J, 7, FALSE) * B29, "")</f>
        <v/>
      </c>
      <c r="I29" s="1" t="str">
        <f>IFERROR(VLOOKUP(A29, 'Exercise Database'!A:J, 8, FALSE) * B29, "")</f>
        <v/>
      </c>
      <c r="J29" s="1" t="str">
        <f>IFERROR(VLOOKUP(A29, 'Exercise Database'!A:J, 9, FALSE) * B29, "")</f>
        <v/>
      </c>
      <c r="K29" s="1" t="str">
        <f>IFERROR(VLOOKUP(A29, 'Exercise Database'!A:J, 10, FALSE) * B29, "")</f>
        <v/>
      </c>
    </row>
    <row r="30" spans="1:11" x14ac:dyDescent="0.3">
      <c r="C30" s="1" t="str">
        <f>IFERROR(VLOOKUP(A30, 'Exercise Database'!A:J, 2, FALSE) * B30, "")</f>
        <v/>
      </c>
      <c r="D30" s="1" t="str">
        <f>IFERROR(VLOOKUP(A30, 'Exercise Database'!A:J, 3, FALSE) * B30, "")</f>
        <v/>
      </c>
      <c r="E30" s="1" t="str">
        <f>IFERROR(VLOOKUP(A30, 'Exercise Database'!A:J, 4, FALSE) * B30, "")</f>
        <v/>
      </c>
      <c r="F30" s="1" t="str">
        <f>IFERROR(VLOOKUP(A30, 'Exercise Database'!A:J, 5, FALSE) * B30, "")</f>
        <v/>
      </c>
      <c r="G30" s="1" t="str">
        <f>IFERROR(VLOOKUP(A30, 'Exercise Database'!A:J, 6, FALSE) * B30, "")</f>
        <v/>
      </c>
      <c r="H30" s="1" t="str">
        <f>IFERROR(VLOOKUP(A30, 'Exercise Database'!A:J, 7, FALSE) * B30, "")</f>
        <v/>
      </c>
      <c r="I30" s="1" t="str">
        <f>IFERROR(VLOOKUP(A30, 'Exercise Database'!A:J, 8, FALSE) * B30, "")</f>
        <v/>
      </c>
      <c r="J30" s="1" t="str">
        <f>IFERROR(VLOOKUP(A30, 'Exercise Database'!A:J, 9, FALSE) * B30, "")</f>
        <v/>
      </c>
      <c r="K30" s="1" t="str">
        <f>IFERROR(VLOOKUP(A30, 'Exercise Database'!A:J, 10, FALSE) * B30, "")</f>
        <v/>
      </c>
    </row>
    <row r="31" spans="1:11" x14ac:dyDescent="0.3">
      <c r="C31" s="1" t="str">
        <f>IFERROR(VLOOKUP(A31, 'Exercise Database'!A:J, 2, FALSE) * B31, "")</f>
        <v/>
      </c>
      <c r="D31" s="1" t="str">
        <f>IFERROR(VLOOKUP(A31, 'Exercise Database'!A:J, 3, FALSE) * B31, "")</f>
        <v/>
      </c>
      <c r="E31" s="1" t="str">
        <f>IFERROR(VLOOKUP(A31, 'Exercise Database'!A:J, 4, FALSE) * B31, "")</f>
        <v/>
      </c>
      <c r="F31" s="1" t="str">
        <f>IFERROR(VLOOKUP(A31, 'Exercise Database'!A:J, 5, FALSE) * B31, "")</f>
        <v/>
      </c>
      <c r="G31" s="1" t="str">
        <f>IFERROR(VLOOKUP(A31, 'Exercise Database'!A:J, 6, FALSE) * B31, "")</f>
        <v/>
      </c>
      <c r="H31" s="1" t="str">
        <f>IFERROR(VLOOKUP(A31, 'Exercise Database'!A:J, 7, FALSE) * B31, "")</f>
        <v/>
      </c>
      <c r="I31" s="1" t="str">
        <f>IFERROR(VLOOKUP(A31, 'Exercise Database'!A:J, 8, FALSE) * B31, "")</f>
        <v/>
      </c>
      <c r="J31" s="1" t="str">
        <f>IFERROR(VLOOKUP(A31, 'Exercise Database'!A:J, 9, FALSE) * B31, "")</f>
        <v/>
      </c>
      <c r="K31" s="1" t="str">
        <f>IFERROR(VLOOKUP(A31, 'Exercise Database'!A:J, 10, FALSE) * B31, "")</f>
        <v/>
      </c>
    </row>
    <row r="32" spans="1:11" x14ac:dyDescent="0.3">
      <c r="C32" s="1" t="str">
        <f>IFERROR(VLOOKUP(A32, 'Exercise Database'!A:J, 2, FALSE) * B32, "")</f>
        <v/>
      </c>
      <c r="D32" s="1" t="str">
        <f>IFERROR(VLOOKUP(A32, 'Exercise Database'!A:J, 3, FALSE) * B32, "")</f>
        <v/>
      </c>
      <c r="E32" s="1" t="str">
        <f>IFERROR(VLOOKUP(A32, 'Exercise Database'!A:J, 4, FALSE) * B32, "")</f>
        <v/>
      </c>
      <c r="F32" s="1" t="str">
        <f>IFERROR(VLOOKUP(A32, 'Exercise Database'!A:J, 5, FALSE) * B32, "")</f>
        <v/>
      </c>
      <c r="G32" s="1" t="str">
        <f>IFERROR(VLOOKUP(A32, 'Exercise Database'!A:J, 6, FALSE) * B32, "")</f>
        <v/>
      </c>
      <c r="H32" s="1" t="str">
        <f>IFERROR(VLOOKUP(A32, 'Exercise Database'!A:J, 7, FALSE) * B32, "")</f>
        <v/>
      </c>
      <c r="I32" s="1" t="str">
        <f>IFERROR(VLOOKUP(A32, 'Exercise Database'!A:J, 8, FALSE) * B32, "")</f>
        <v/>
      </c>
      <c r="J32" s="1" t="str">
        <f>IFERROR(VLOOKUP(A32, 'Exercise Database'!A:J, 9, FALSE) * B32, "")</f>
        <v/>
      </c>
      <c r="K32" s="1" t="str">
        <f>IFERROR(VLOOKUP(A32, 'Exercise Database'!A:J, 10, FALSE) * B32, "")</f>
        <v/>
      </c>
    </row>
    <row r="33" spans="3:11" x14ac:dyDescent="0.3">
      <c r="C33" s="1" t="str">
        <f>IFERROR(VLOOKUP(A33, 'Exercise Database'!A:J, 2, FALSE) * B33, "")</f>
        <v/>
      </c>
      <c r="D33" s="1" t="str">
        <f>IFERROR(VLOOKUP(A33, 'Exercise Database'!A:J, 3, FALSE) * B33, "")</f>
        <v/>
      </c>
      <c r="E33" s="1" t="str">
        <f>IFERROR(VLOOKUP(A33, 'Exercise Database'!A:J, 4, FALSE) * B33, "")</f>
        <v/>
      </c>
      <c r="F33" s="1" t="str">
        <f>IFERROR(VLOOKUP(A33, 'Exercise Database'!A:J, 5, FALSE) * B33, "")</f>
        <v/>
      </c>
      <c r="G33" s="1" t="str">
        <f>IFERROR(VLOOKUP(A33, 'Exercise Database'!A:J, 6, FALSE) * B33, "")</f>
        <v/>
      </c>
      <c r="H33" s="1" t="str">
        <f>IFERROR(VLOOKUP(A33, 'Exercise Database'!A:J, 7, FALSE) * B33, "")</f>
        <v/>
      </c>
      <c r="I33" s="1" t="str">
        <f>IFERROR(VLOOKUP(A33, 'Exercise Database'!A:J, 8, FALSE) * B33, "")</f>
        <v/>
      </c>
      <c r="J33" s="1" t="str">
        <f>IFERROR(VLOOKUP(A33, 'Exercise Database'!A:J, 9, FALSE) * B33, "")</f>
        <v/>
      </c>
      <c r="K33" s="1" t="str">
        <f>IFERROR(VLOOKUP(A33, 'Exercise Database'!A:J, 10, FALSE) * B33, "")</f>
        <v/>
      </c>
    </row>
    <row r="34" spans="3:11" x14ac:dyDescent="0.3">
      <c r="C34" s="1" t="str">
        <f>IFERROR(VLOOKUP(A34, 'Exercise Database'!A:J, 2, FALSE) * B34, "")</f>
        <v/>
      </c>
      <c r="D34" s="1" t="str">
        <f>IFERROR(VLOOKUP(A34, 'Exercise Database'!A:J, 3, FALSE) * B34, "")</f>
        <v/>
      </c>
      <c r="E34" s="1" t="str">
        <f>IFERROR(VLOOKUP(A34, 'Exercise Database'!A:J, 4, FALSE) * B34, "")</f>
        <v/>
      </c>
      <c r="F34" s="1" t="str">
        <f>IFERROR(VLOOKUP(A34, 'Exercise Database'!A:J, 5, FALSE) * B34, "")</f>
        <v/>
      </c>
      <c r="G34" s="1" t="str">
        <f>IFERROR(VLOOKUP(A34, 'Exercise Database'!A:J, 6, FALSE) * B34, "")</f>
        <v/>
      </c>
      <c r="H34" s="1" t="str">
        <f>IFERROR(VLOOKUP(A34, 'Exercise Database'!A:J, 7, FALSE) * B34, "")</f>
        <v/>
      </c>
      <c r="I34" s="1" t="str">
        <f>IFERROR(VLOOKUP(A34, 'Exercise Database'!A:J, 8, FALSE) * B34, "")</f>
        <v/>
      </c>
      <c r="J34" s="1" t="str">
        <f>IFERROR(VLOOKUP(A34, 'Exercise Database'!A:J, 9, FALSE) * B34, "")</f>
        <v/>
      </c>
      <c r="K34" s="1" t="str">
        <f>IFERROR(VLOOKUP(A34, 'Exercise Database'!A:J, 10, FALSE) * B34, "")</f>
        <v/>
      </c>
    </row>
    <row r="35" spans="3:11" x14ac:dyDescent="0.3">
      <c r="C35" s="1" t="str">
        <f>IFERROR(VLOOKUP(A35, 'Exercise Database'!A:J, 2, FALSE) * B35, "")</f>
        <v/>
      </c>
      <c r="D35" s="1" t="str">
        <f>IFERROR(VLOOKUP(A35, 'Exercise Database'!A:J, 3, FALSE) * B35, "")</f>
        <v/>
      </c>
      <c r="E35" s="1" t="str">
        <f>IFERROR(VLOOKUP(A35, 'Exercise Database'!A:J, 4, FALSE) * B35, "")</f>
        <v/>
      </c>
      <c r="F35" s="1" t="str">
        <f>IFERROR(VLOOKUP(A35, 'Exercise Database'!A:J, 5, FALSE) * B35, "")</f>
        <v/>
      </c>
      <c r="G35" s="1" t="str">
        <f>IFERROR(VLOOKUP(A35, 'Exercise Database'!A:J, 6, FALSE) * B35, "")</f>
        <v/>
      </c>
      <c r="H35" s="1" t="str">
        <f>IFERROR(VLOOKUP(A35, 'Exercise Database'!A:J, 7, FALSE) * B35, "")</f>
        <v/>
      </c>
      <c r="I35" s="1" t="str">
        <f>IFERROR(VLOOKUP(A35, 'Exercise Database'!A:J, 8, FALSE) * B35, "")</f>
        <v/>
      </c>
      <c r="J35" s="1" t="str">
        <f>IFERROR(VLOOKUP(A35, 'Exercise Database'!A:J, 9, FALSE) * B35, "")</f>
        <v/>
      </c>
      <c r="K35" s="1" t="str">
        <f>IFERROR(VLOOKUP(A35, 'Exercise Database'!A:J, 10, FALSE) * B35, "")</f>
        <v/>
      </c>
    </row>
    <row r="36" spans="3:11" x14ac:dyDescent="0.3">
      <c r="C36" s="1" t="str">
        <f>IFERROR(VLOOKUP(A36, 'Exercise Database'!A:J, 2, FALSE) * B36, "")</f>
        <v/>
      </c>
      <c r="D36" s="1" t="str">
        <f>IFERROR(VLOOKUP(A36, 'Exercise Database'!A:J, 3, FALSE) * B36, "")</f>
        <v/>
      </c>
      <c r="E36" s="1" t="str">
        <f>IFERROR(VLOOKUP(A36, 'Exercise Database'!A:J, 4, FALSE) * B36, "")</f>
        <v/>
      </c>
      <c r="F36" s="1" t="str">
        <f>IFERROR(VLOOKUP(A36, 'Exercise Database'!A:J, 5, FALSE) * B36, "")</f>
        <v/>
      </c>
      <c r="G36" s="1" t="str">
        <f>IFERROR(VLOOKUP(A36, 'Exercise Database'!A:J, 6, FALSE) * B36, "")</f>
        <v/>
      </c>
      <c r="H36" s="1" t="str">
        <f>IFERROR(VLOOKUP(A36, 'Exercise Database'!A:J, 7, FALSE) * B36, "")</f>
        <v/>
      </c>
      <c r="I36" s="1" t="str">
        <f>IFERROR(VLOOKUP(A36, 'Exercise Database'!A:J, 8, FALSE) * B36, "")</f>
        <v/>
      </c>
      <c r="J36" s="1" t="str">
        <f>IFERROR(VLOOKUP(A36, 'Exercise Database'!A:J, 9, FALSE) * B36, "")</f>
        <v/>
      </c>
      <c r="K36" s="1" t="str">
        <f>IFERROR(VLOOKUP(A36, 'Exercise Database'!A:J, 10, FALSE) * B36, "")</f>
        <v/>
      </c>
    </row>
    <row r="37" spans="3:11" x14ac:dyDescent="0.3">
      <c r="C37" s="1" t="str">
        <f>IFERROR(VLOOKUP(A37, 'Exercise Database'!A:J, 2, FALSE) * B37, "")</f>
        <v/>
      </c>
      <c r="D37" s="1" t="str">
        <f>IFERROR(VLOOKUP(A37, 'Exercise Database'!A:J, 3, FALSE) * B37, "")</f>
        <v/>
      </c>
      <c r="E37" s="1" t="str">
        <f>IFERROR(VLOOKUP(A37, 'Exercise Database'!A:J, 4, FALSE) * B37, "")</f>
        <v/>
      </c>
      <c r="F37" s="1" t="str">
        <f>IFERROR(VLOOKUP(A37, 'Exercise Database'!A:J, 5, FALSE) * B37, "")</f>
        <v/>
      </c>
      <c r="G37" s="1" t="str">
        <f>IFERROR(VLOOKUP(A37, 'Exercise Database'!A:J, 6, FALSE) * B37, "")</f>
        <v/>
      </c>
      <c r="H37" s="1" t="str">
        <f>IFERROR(VLOOKUP(A37, 'Exercise Database'!A:J, 7, FALSE) * B37, "")</f>
        <v/>
      </c>
      <c r="I37" s="1" t="str">
        <f>IFERROR(VLOOKUP(A37, 'Exercise Database'!A:J, 8, FALSE) * B37, "")</f>
        <v/>
      </c>
      <c r="J37" s="1" t="str">
        <f>IFERROR(VLOOKUP(A37, 'Exercise Database'!A:J, 9, FALSE) * B37, "")</f>
        <v/>
      </c>
      <c r="K37" s="1" t="str">
        <f>IFERROR(VLOOKUP(A37, 'Exercise Database'!A:J, 10, FALSE) * B37, "")</f>
        <v/>
      </c>
    </row>
    <row r="38" spans="3:11" x14ac:dyDescent="0.3">
      <c r="C38" s="1" t="str">
        <f>IFERROR(VLOOKUP(A38, 'Exercise Database'!A:J, 2, FALSE) * B38, "")</f>
        <v/>
      </c>
      <c r="D38" s="1" t="str">
        <f>IFERROR(VLOOKUP(A38, 'Exercise Database'!A:J, 3, FALSE) * B38, "")</f>
        <v/>
      </c>
      <c r="E38" s="1" t="str">
        <f>IFERROR(VLOOKUP(A38, 'Exercise Database'!A:J, 4, FALSE) * B38, "")</f>
        <v/>
      </c>
      <c r="F38" s="1" t="str">
        <f>IFERROR(VLOOKUP(A38, 'Exercise Database'!A:J, 5, FALSE) * B38, "")</f>
        <v/>
      </c>
      <c r="G38" s="1" t="str">
        <f>IFERROR(VLOOKUP(A38, 'Exercise Database'!A:J, 6, FALSE) * B38, "")</f>
        <v/>
      </c>
      <c r="H38" s="1" t="str">
        <f>IFERROR(VLOOKUP(A38, 'Exercise Database'!A:J, 7, FALSE) * B38, "")</f>
        <v/>
      </c>
      <c r="I38" s="1" t="str">
        <f>IFERROR(VLOOKUP(A38, 'Exercise Database'!A:J, 8, FALSE) * B38, "")</f>
        <v/>
      </c>
      <c r="J38" s="1" t="str">
        <f>IFERROR(VLOOKUP(A38, 'Exercise Database'!A:J, 9, FALSE) * B38, "")</f>
        <v/>
      </c>
      <c r="K38" s="1" t="str">
        <f>IFERROR(VLOOKUP(A38, 'Exercise Database'!A:J, 10, FALSE) * B38, "")</f>
        <v/>
      </c>
    </row>
    <row r="39" spans="3:11" x14ac:dyDescent="0.3">
      <c r="C39" s="1" t="str">
        <f>IFERROR(VLOOKUP(A39, 'Exercise Database'!A:J, 2, FALSE) * B39, "")</f>
        <v/>
      </c>
      <c r="D39" s="1" t="str">
        <f>IFERROR(VLOOKUP(A39, 'Exercise Database'!A:J, 3, FALSE) * B39, "")</f>
        <v/>
      </c>
      <c r="E39" s="1" t="str">
        <f>IFERROR(VLOOKUP(A39, 'Exercise Database'!A:J, 4, FALSE) * B39, "")</f>
        <v/>
      </c>
      <c r="F39" s="1" t="str">
        <f>IFERROR(VLOOKUP(A39, 'Exercise Database'!A:J, 5, FALSE) * B39, "")</f>
        <v/>
      </c>
      <c r="G39" s="1" t="str">
        <f>IFERROR(VLOOKUP(A39, 'Exercise Database'!A:J, 6, FALSE) * B39, "")</f>
        <v/>
      </c>
      <c r="H39" s="1" t="str">
        <f>IFERROR(VLOOKUP(A39, 'Exercise Database'!A:J, 7, FALSE) * B39, "")</f>
        <v/>
      </c>
      <c r="I39" s="1" t="str">
        <f>IFERROR(VLOOKUP(A39, 'Exercise Database'!A:J, 8, FALSE) * B39, "")</f>
        <v/>
      </c>
      <c r="J39" s="1" t="str">
        <f>IFERROR(VLOOKUP(A39, 'Exercise Database'!A:J, 9, FALSE) * B39, "")</f>
        <v/>
      </c>
      <c r="K39" s="1" t="str">
        <f>IFERROR(VLOOKUP(A39, 'Exercise Database'!A:J, 10, FALSE) * B39, "")</f>
        <v/>
      </c>
    </row>
    <row r="40" spans="3:11" x14ac:dyDescent="0.3">
      <c r="C40" s="1" t="str">
        <f>IFERROR(VLOOKUP(A40, 'Exercise Database'!A:J, 2, FALSE) * B40, "")</f>
        <v/>
      </c>
      <c r="D40" s="1" t="str">
        <f>IFERROR(VLOOKUP(A40, 'Exercise Database'!A:J, 3, FALSE) * B40, "")</f>
        <v/>
      </c>
      <c r="E40" s="1" t="str">
        <f>IFERROR(VLOOKUP(A40, 'Exercise Database'!A:J, 4, FALSE) * B40, "")</f>
        <v/>
      </c>
      <c r="F40" s="1" t="str">
        <f>IFERROR(VLOOKUP(A40, 'Exercise Database'!A:J, 5, FALSE) * B40, "")</f>
        <v/>
      </c>
      <c r="G40" s="1" t="str">
        <f>IFERROR(VLOOKUP(A40, 'Exercise Database'!A:J, 6, FALSE) * B40, "")</f>
        <v/>
      </c>
      <c r="H40" s="1" t="str">
        <f>IFERROR(VLOOKUP(A40, 'Exercise Database'!A:J, 7, FALSE) * B40, "")</f>
        <v/>
      </c>
      <c r="I40" s="1" t="str">
        <f>IFERROR(VLOOKUP(A40, 'Exercise Database'!A:J, 8, FALSE) * B40, "")</f>
        <v/>
      </c>
      <c r="J40" s="1" t="str">
        <f>IFERROR(VLOOKUP(A40, 'Exercise Database'!A:J, 9, FALSE) * B40, "")</f>
        <v/>
      </c>
      <c r="K40" s="1" t="str">
        <f>IFERROR(VLOOKUP(A40, 'Exercise Database'!A:J, 10, FALSE) * B40, "")</f>
        <v/>
      </c>
    </row>
    <row r="41" spans="3:11" x14ac:dyDescent="0.3">
      <c r="C41" s="1" t="str">
        <f>IFERROR(VLOOKUP(A41, 'Exercise Database'!A:J, 2, FALSE) * B41, "")</f>
        <v/>
      </c>
      <c r="D41" s="1" t="str">
        <f>IFERROR(VLOOKUP(A41, 'Exercise Database'!A:J, 3, FALSE) * B41, "")</f>
        <v/>
      </c>
      <c r="E41" s="1" t="str">
        <f>IFERROR(VLOOKUP(A41, 'Exercise Database'!A:J, 4, FALSE) * B41, "")</f>
        <v/>
      </c>
      <c r="F41" s="1" t="str">
        <f>IFERROR(VLOOKUP(A41, 'Exercise Database'!A:J, 5, FALSE) * B41, "")</f>
        <v/>
      </c>
      <c r="G41" s="1" t="str">
        <f>IFERROR(VLOOKUP(A41, 'Exercise Database'!A:J, 6, FALSE) * B41, "")</f>
        <v/>
      </c>
      <c r="H41" s="1" t="str">
        <f>IFERROR(VLOOKUP(A41, 'Exercise Database'!A:J, 7, FALSE) * B41, "")</f>
        <v/>
      </c>
      <c r="I41" s="1" t="str">
        <f>IFERROR(VLOOKUP(A41, 'Exercise Database'!A:J, 8, FALSE) * B41, "")</f>
        <v/>
      </c>
      <c r="J41" s="1" t="str">
        <f>IFERROR(VLOOKUP(A41, 'Exercise Database'!A:J, 9, FALSE) * B41, "")</f>
        <v/>
      </c>
      <c r="K41" s="1" t="str">
        <f>IFERROR(VLOOKUP(A41, 'Exercise Database'!A:J, 10, FALSE) * B41, "")</f>
        <v/>
      </c>
    </row>
    <row r="42" spans="3:11" x14ac:dyDescent="0.3">
      <c r="C42" s="1" t="str">
        <f>IFERROR(VLOOKUP(A42, 'Exercise Database'!A:J, 2, FALSE) * B42, "")</f>
        <v/>
      </c>
      <c r="D42" s="1" t="str">
        <f>IFERROR(VLOOKUP(A42, 'Exercise Database'!A:J, 3, FALSE) * B42, "")</f>
        <v/>
      </c>
      <c r="E42" s="1" t="str">
        <f>IFERROR(VLOOKUP(A42, 'Exercise Database'!A:J, 4, FALSE) * B42, "")</f>
        <v/>
      </c>
      <c r="F42" s="1" t="str">
        <f>IFERROR(VLOOKUP(A42, 'Exercise Database'!A:J, 5, FALSE) * B42, "")</f>
        <v/>
      </c>
      <c r="G42" s="1" t="str">
        <f>IFERROR(VLOOKUP(A42, 'Exercise Database'!A:J, 6, FALSE) * B42, "")</f>
        <v/>
      </c>
      <c r="H42" s="1" t="str">
        <f>IFERROR(VLOOKUP(A42, 'Exercise Database'!A:J, 7, FALSE) * B42, "")</f>
        <v/>
      </c>
      <c r="I42" s="1" t="str">
        <f>IFERROR(VLOOKUP(A42, 'Exercise Database'!A:J, 8, FALSE) * B42, "")</f>
        <v/>
      </c>
      <c r="J42" s="1" t="str">
        <f>IFERROR(VLOOKUP(A42, 'Exercise Database'!A:J, 9, FALSE) * B42, "")</f>
        <v/>
      </c>
      <c r="K42" s="1" t="str">
        <f>IFERROR(VLOOKUP(A42, 'Exercise Database'!A:J, 10, FALSE) * B42, "")</f>
        <v/>
      </c>
    </row>
    <row r="43" spans="3:11" x14ac:dyDescent="0.3">
      <c r="C43" s="1" t="str">
        <f>IFERROR(VLOOKUP(A43, 'Exercise Database'!A:J, 2, FALSE) * B43, "")</f>
        <v/>
      </c>
      <c r="D43" s="1" t="str">
        <f>IFERROR(VLOOKUP(A43, 'Exercise Database'!A:J, 3, FALSE) * B43, "")</f>
        <v/>
      </c>
      <c r="E43" s="1" t="str">
        <f>IFERROR(VLOOKUP(A43, 'Exercise Database'!A:J, 4, FALSE) * B43, "")</f>
        <v/>
      </c>
      <c r="F43" s="1" t="str">
        <f>IFERROR(VLOOKUP(A43, 'Exercise Database'!A:J, 5, FALSE) * B43, "")</f>
        <v/>
      </c>
      <c r="G43" s="1" t="str">
        <f>IFERROR(VLOOKUP(A43, 'Exercise Database'!A:J, 6, FALSE) * B43, "")</f>
        <v/>
      </c>
      <c r="H43" s="1" t="str">
        <f>IFERROR(VLOOKUP(A43, 'Exercise Database'!A:J, 7, FALSE) * B43, "")</f>
        <v/>
      </c>
      <c r="I43" s="1" t="str">
        <f>IFERROR(VLOOKUP(A43, 'Exercise Database'!A:J, 8, FALSE) * B43, "")</f>
        <v/>
      </c>
      <c r="J43" s="1" t="str">
        <f>IFERROR(VLOOKUP(A43, 'Exercise Database'!A:J, 9, FALSE) * B43, "")</f>
        <v/>
      </c>
      <c r="K43" s="1" t="str">
        <f>IFERROR(VLOOKUP(A43, 'Exercise Database'!A:J, 10, FALSE) * B43, "")</f>
        <v/>
      </c>
    </row>
    <row r="44" spans="3:11" x14ac:dyDescent="0.3">
      <c r="C44" s="1" t="str">
        <f>IFERROR(VLOOKUP(A44, 'Exercise Database'!A:J, 2, FALSE) * B44, "")</f>
        <v/>
      </c>
      <c r="D44" s="1" t="str">
        <f>IFERROR(VLOOKUP(A44, 'Exercise Database'!A:J, 3, FALSE) * B44, "")</f>
        <v/>
      </c>
      <c r="E44" s="1" t="str">
        <f>IFERROR(VLOOKUP(A44, 'Exercise Database'!A:J, 4, FALSE) * B44, "")</f>
        <v/>
      </c>
      <c r="F44" s="1" t="str">
        <f>IFERROR(VLOOKUP(A44, 'Exercise Database'!A:J, 5, FALSE) * B44, "")</f>
        <v/>
      </c>
      <c r="G44" s="1" t="str">
        <f>IFERROR(VLOOKUP(A44, 'Exercise Database'!A:J, 6, FALSE) * B44, "")</f>
        <v/>
      </c>
      <c r="H44" s="1" t="str">
        <f>IFERROR(VLOOKUP(A44, 'Exercise Database'!A:J, 7, FALSE) * B44, "")</f>
        <v/>
      </c>
      <c r="I44" s="1" t="str">
        <f>IFERROR(VLOOKUP(A44, 'Exercise Database'!A:J, 8, FALSE) * B44, "")</f>
        <v/>
      </c>
      <c r="J44" s="1" t="str">
        <f>IFERROR(VLOOKUP(A44, 'Exercise Database'!A:J, 9, FALSE) * B44, "")</f>
        <v/>
      </c>
      <c r="K44" s="1" t="str">
        <f>IFERROR(VLOOKUP(A44, 'Exercise Database'!A:J, 10, FALSE) * B44, "")</f>
        <v/>
      </c>
    </row>
    <row r="45" spans="3:11" x14ac:dyDescent="0.3">
      <c r="C45" s="1" t="str">
        <f>IFERROR(VLOOKUP(A45, 'Exercise Database'!A:J, 2, FALSE) * B45, "")</f>
        <v/>
      </c>
      <c r="D45" s="1" t="str">
        <f>IFERROR(VLOOKUP(A45, 'Exercise Database'!A:J, 3, FALSE) * B45, "")</f>
        <v/>
      </c>
      <c r="E45" s="1" t="str">
        <f>IFERROR(VLOOKUP(A45, 'Exercise Database'!A:J, 4, FALSE) * B45, "")</f>
        <v/>
      </c>
      <c r="F45" s="1" t="str">
        <f>IFERROR(VLOOKUP(A45, 'Exercise Database'!A:J, 5, FALSE) * B45, "")</f>
        <v/>
      </c>
      <c r="G45" s="1" t="str">
        <f>IFERROR(VLOOKUP(A45, 'Exercise Database'!A:J, 6, FALSE) * B45, "")</f>
        <v/>
      </c>
      <c r="H45" s="1" t="str">
        <f>IFERROR(VLOOKUP(A45, 'Exercise Database'!A:J, 7, FALSE) * B45, "")</f>
        <v/>
      </c>
      <c r="I45" s="1" t="str">
        <f>IFERROR(VLOOKUP(A45, 'Exercise Database'!A:J, 8, FALSE) * B45, "")</f>
        <v/>
      </c>
      <c r="J45" s="1" t="str">
        <f>IFERROR(VLOOKUP(A45, 'Exercise Database'!A:J, 9, FALSE) * B45, "")</f>
        <v/>
      </c>
      <c r="K45" s="1" t="str">
        <f>IFERROR(VLOOKUP(A45, 'Exercise Database'!A:J, 10, FALSE) * B45, "")</f>
        <v/>
      </c>
    </row>
    <row r="46" spans="3:11" x14ac:dyDescent="0.3">
      <c r="C46" s="1" t="str">
        <f>IFERROR(VLOOKUP(A46, 'Exercise Database'!A:J, 2, FALSE) * B46, "")</f>
        <v/>
      </c>
      <c r="D46" s="1" t="str">
        <f>IFERROR(VLOOKUP(A46, 'Exercise Database'!A:J, 3, FALSE) * B46, "")</f>
        <v/>
      </c>
      <c r="E46" s="1" t="str">
        <f>IFERROR(VLOOKUP(A46, 'Exercise Database'!A:J, 4, FALSE) * B46, "")</f>
        <v/>
      </c>
      <c r="F46" s="1" t="str">
        <f>IFERROR(VLOOKUP(A46, 'Exercise Database'!A:J, 5, FALSE) * B46, "")</f>
        <v/>
      </c>
      <c r="G46" s="1" t="str">
        <f>IFERROR(VLOOKUP(A46, 'Exercise Database'!A:J, 6, FALSE) * B46, "")</f>
        <v/>
      </c>
      <c r="H46" s="1" t="str">
        <f>IFERROR(VLOOKUP(A46, 'Exercise Database'!A:J, 7, FALSE) * B46, "")</f>
        <v/>
      </c>
      <c r="I46" s="1" t="str">
        <f>IFERROR(VLOOKUP(A46, 'Exercise Database'!A:J, 8, FALSE) * B46, "")</f>
        <v/>
      </c>
      <c r="J46" s="1" t="str">
        <f>IFERROR(VLOOKUP(A46, 'Exercise Database'!A:J, 9, FALSE) * B46, "")</f>
        <v/>
      </c>
      <c r="K46" s="1" t="str">
        <f>IFERROR(VLOOKUP(A46, 'Exercise Database'!A:J, 10, FALSE) * B46, "")</f>
        <v/>
      </c>
    </row>
    <row r="47" spans="3:11" x14ac:dyDescent="0.3">
      <c r="C47" s="1" t="str">
        <f>IFERROR(VLOOKUP(A47, 'Exercise Database'!A:J, 2, FALSE) * B47, "")</f>
        <v/>
      </c>
      <c r="D47" s="1" t="str">
        <f>IFERROR(VLOOKUP(A47, 'Exercise Database'!A:J, 3, FALSE) * B47, "")</f>
        <v/>
      </c>
      <c r="E47" s="1" t="str">
        <f>IFERROR(VLOOKUP(A47, 'Exercise Database'!A:J, 4, FALSE) * B47, "")</f>
        <v/>
      </c>
      <c r="F47" s="1" t="str">
        <f>IFERROR(VLOOKUP(A47, 'Exercise Database'!A:J, 5, FALSE) * B47, "")</f>
        <v/>
      </c>
      <c r="G47" s="1" t="str">
        <f>IFERROR(VLOOKUP(A47, 'Exercise Database'!A:J, 6, FALSE) * B47, "")</f>
        <v/>
      </c>
      <c r="H47" s="1" t="str">
        <f>IFERROR(VLOOKUP(A47, 'Exercise Database'!A:J, 7, FALSE) * B47, "")</f>
        <v/>
      </c>
      <c r="I47" s="1" t="str">
        <f>IFERROR(VLOOKUP(A47, 'Exercise Database'!A:J, 8, FALSE) * B47, "")</f>
        <v/>
      </c>
      <c r="J47" s="1" t="str">
        <f>IFERROR(VLOOKUP(A47, 'Exercise Database'!A:J, 9, FALSE) * B47, "")</f>
        <v/>
      </c>
      <c r="K47" s="1" t="str">
        <f>IFERROR(VLOOKUP(A47, 'Exercise Database'!A:J, 10, FALSE) * B47, "")</f>
        <v/>
      </c>
    </row>
    <row r="48" spans="3:11" x14ac:dyDescent="0.3">
      <c r="C48" s="1" t="str">
        <f>IFERROR(VLOOKUP(A48, 'Exercise Database'!A:J, 2, FALSE) * B48, "")</f>
        <v/>
      </c>
      <c r="D48" s="1" t="str">
        <f>IFERROR(VLOOKUP(A48, 'Exercise Database'!A:J, 3, FALSE) * B48, "")</f>
        <v/>
      </c>
      <c r="E48" s="1" t="str">
        <f>IFERROR(VLOOKUP(A48, 'Exercise Database'!A:J, 4, FALSE) * B48, "")</f>
        <v/>
      </c>
      <c r="F48" s="1" t="str">
        <f>IFERROR(VLOOKUP(A48, 'Exercise Database'!A:J, 5, FALSE) * B48, "")</f>
        <v/>
      </c>
      <c r="G48" s="1" t="str">
        <f>IFERROR(VLOOKUP(A48, 'Exercise Database'!A:J, 6, FALSE) * B48, "")</f>
        <v/>
      </c>
      <c r="H48" s="1" t="str">
        <f>IFERROR(VLOOKUP(A48, 'Exercise Database'!A:J, 7, FALSE) * B48, "")</f>
        <v/>
      </c>
      <c r="I48" s="1" t="str">
        <f>IFERROR(VLOOKUP(A48, 'Exercise Database'!A:J, 8, FALSE) * B48, "")</f>
        <v/>
      </c>
      <c r="J48" s="1" t="str">
        <f>IFERROR(VLOOKUP(A48, 'Exercise Database'!A:J, 9, FALSE) * B48, "")</f>
        <v/>
      </c>
      <c r="K48" s="1" t="str">
        <f>IFERROR(VLOOKUP(A48, 'Exercise Database'!A:J, 10, FALSE) * B48, "")</f>
        <v/>
      </c>
    </row>
    <row r="49" spans="3:11" x14ac:dyDescent="0.3">
      <c r="C49" s="1" t="str">
        <f>IFERROR(VLOOKUP(A49, 'Exercise Database'!A:J, 2, FALSE) * B49, "")</f>
        <v/>
      </c>
      <c r="D49" s="1" t="str">
        <f>IFERROR(VLOOKUP(A49, 'Exercise Database'!A:J, 3, FALSE) * B49, "")</f>
        <v/>
      </c>
      <c r="E49" s="1" t="str">
        <f>IFERROR(VLOOKUP(A49, 'Exercise Database'!A:J, 4, FALSE) * B49, "")</f>
        <v/>
      </c>
      <c r="F49" s="1" t="str">
        <f>IFERROR(VLOOKUP(A49, 'Exercise Database'!A:J, 5, FALSE) * B49, "")</f>
        <v/>
      </c>
      <c r="G49" s="1" t="str">
        <f>IFERROR(VLOOKUP(A49, 'Exercise Database'!A:J, 6, FALSE) * B49, "")</f>
        <v/>
      </c>
      <c r="H49" s="1" t="str">
        <f>IFERROR(VLOOKUP(A49, 'Exercise Database'!A:J, 7, FALSE) * B49, "")</f>
        <v/>
      </c>
      <c r="I49" s="1" t="str">
        <f>IFERROR(VLOOKUP(A49, 'Exercise Database'!A:J, 8, FALSE) * B49, "")</f>
        <v/>
      </c>
      <c r="J49" s="1" t="str">
        <f>IFERROR(VLOOKUP(A49, 'Exercise Database'!A:J, 9, FALSE) * B49, "")</f>
        <v/>
      </c>
      <c r="K49" s="1" t="str">
        <f>IFERROR(VLOOKUP(A49, 'Exercise Database'!A:J, 10, FALSE) * B49, "")</f>
        <v/>
      </c>
    </row>
    <row r="50" spans="3:11" x14ac:dyDescent="0.3">
      <c r="C50" s="1" t="str">
        <f>IFERROR(VLOOKUP(A50, 'Exercise Database'!A:J, 2, FALSE) * B50, "")</f>
        <v/>
      </c>
      <c r="D50" s="1" t="str">
        <f>IFERROR(VLOOKUP(A50, 'Exercise Database'!A:J, 3, FALSE) * B50, "")</f>
        <v/>
      </c>
      <c r="E50" s="1" t="str">
        <f>IFERROR(VLOOKUP(A50, 'Exercise Database'!A:J, 4, FALSE) * B50, "")</f>
        <v/>
      </c>
      <c r="F50" s="1" t="str">
        <f>IFERROR(VLOOKUP(A50, 'Exercise Database'!A:J, 5, FALSE) * B50, "")</f>
        <v/>
      </c>
      <c r="G50" s="1" t="str">
        <f>IFERROR(VLOOKUP(A50, 'Exercise Database'!A:J, 6, FALSE) * B50, "")</f>
        <v/>
      </c>
      <c r="H50" s="1" t="str">
        <f>IFERROR(VLOOKUP(A50, 'Exercise Database'!A:J, 7, FALSE) * B50, "")</f>
        <v/>
      </c>
      <c r="I50" s="1" t="str">
        <f>IFERROR(VLOOKUP(A50, 'Exercise Database'!A:J, 8, FALSE) * B50, "")</f>
        <v/>
      </c>
      <c r="J50" s="1" t="str">
        <f>IFERROR(VLOOKUP(A50, 'Exercise Database'!A:J, 9, FALSE) * B50, "")</f>
        <v/>
      </c>
      <c r="K50" s="1" t="str">
        <f>IFERROR(VLOOKUP(A50, 'Exercise Database'!A:J, 10, FALSE) * B50, "")</f>
        <v/>
      </c>
    </row>
    <row r="51" spans="3:11" x14ac:dyDescent="0.3">
      <c r="C51" s="1" t="str">
        <f>IFERROR(VLOOKUP(A51, 'Exercise Database'!A:J, 2, FALSE) * B51, "")</f>
        <v/>
      </c>
      <c r="D51" s="1" t="str">
        <f>IFERROR(VLOOKUP(A51, 'Exercise Database'!A:J, 3, FALSE) * B51, "")</f>
        <v/>
      </c>
      <c r="E51" s="1" t="str">
        <f>IFERROR(VLOOKUP(A51, 'Exercise Database'!A:J, 4, FALSE) * B51, "")</f>
        <v/>
      </c>
      <c r="F51" s="1" t="str">
        <f>IFERROR(VLOOKUP(A51, 'Exercise Database'!A:J, 5, FALSE) * B51, "")</f>
        <v/>
      </c>
      <c r="G51" s="1" t="str">
        <f>IFERROR(VLOOKUP(A51, 'Exercise Database'!A:J, 6, FALSE) * B51, "")</f>
        <v/>
      </c>
      <c r="H51" s="1" t="str">
        <f>IFERROR(VLOOKUP(A51, 'Exercise Database'!A:J, 7, FALSE) * B51, "")</f>
        <v/>
      </c>
      <c r="I51" s="1" t="str">
        <f>IFERROR(VLOOKUP(A51, 'Exercise Database'!A:J, 8, FALSE) * B51, "")</f>
        <v/>
      </c>
      <c r="J51" s="1" t="str">
        <f>IFERROR(VLOOKUP(A51, 'Exercise Database'!A:J, 9, FALSE) * B51, "")</f>
        <v/>
      </c>
      <c r="K51" s="1" t="str">
        <f>IFERROR(VLOOKUP(A51, 'Exercise Database'!A:J, 10, FALSE) * B51, "")</f>
        <v/>
      </c>
    </row>
    <row r="52" spans="3:11" x14ac:dyDescent="0.3">
      <c r="C52" s="1" t="str">
        <f>IFERROR(VLOOKUP(A52, 'Exercise Database'!A:J, 2, FALSE) * B52, "")</f>
        <v/>
      </c>
      <c r="D52" s="1" t="str">
        <f>IFERROR(VLOOKUP(A52, 'Exercise Database'!A:J, 3, FALSE) * B52, "")</f>
        <v/>
      </c>
      <c r="E52" s="1" t="str">
        <f>IFERROR(VLOOKUP(A52, 'Exercise Database'!A:J, 4, FALSE) * B52, "")</f>
        <v/>
      </c>
      <c r="F52" s="1" t="str">
        <f>IFERROR(VLOOKUP(A52, 'Exercise Database'!A:J, 5, FALSE) * B52, "")</f>
        <v/>
      </c>
      <c r="G52" s="1" t="str">
        <f>IFERROR(VLOOKUP(A52, 'Exercise Database'!A:J, 6, FALSE) * B52, "")</f>
        <v/>
      </c>
      <c r="H52" s="1" t="str">
        <f>IFERROR(VLOOKUP(A52, 'Exercise Database'!A:J, 7, FALSE) * B52, "")</f>
        <v/>
      </c>
      <c r="I52" s="1" t="str">
        <f>IFERROR(VLOOKUP(A52, 'Exercise Database'!A:J, 8, FALSE) * B52, "")</f>
        <v/>
      </c>
      <c r="J52" s="1" t="str">
        <f>IFERROR(VLOOKUP(A52, 'Exercise Database'!A:J, 9, FALSE) * B52, "")</f>
        <v/>
      </c>
      <c r="K52" s="1" t="str">
        <f>IFERROR(VLOOKUP(A52, 'Exercise Database'!A:J, 10, FALSE) * B52, "")</f>
        <v/>
      </c>
    </row>
    <row r="53" spans="3:11" x14ac:dyDescent="0.3">
      <c r="C53" s="1" t="str">
        <f>IFERROR(VLOOKUP(A53, 'Exercise Database'!A:J, 2, FALSE) * B53, "")</f>
        <v/>
      </c>
      <c r="D53" s="1" t="str">
        <f>IFERROR(VLOOKUP(A53, 'Exercise Database'!A:J, 3, FALSE) * B53, "")</f>
        <v/>
      </c>
      <c r="E53" s="1" t="str">
        <f>IFERROR(VLOOKUP(A53, 'Exercise Database'!A:J, 4, FALSE) * B53, "")</f>
        <v/>
      </c>
      <c r="F53" s="1" t="str">
        <f>IFERROR(VLOOKUP(A53, 'Exercise Database'!A:J, 5, FALSE) * B53, "")</f>
        <v/>
      </c>
      <c r="G53" s="1" t="str">
        <f>IFERROR(VLOOKUP(A53, 'Exercise Database'!A:J, 6, FALSE) * B53, "")</f>
        <v/>
      </c>
      <c r="H53" s="1" t="str">
        <f>IFERROR(VLOOKUP(A53, 'Exercise Database'!A:J, 7, FALSE) * B53, "")</f>
        <v/>
      </c>
      <c r="I53" s="1" t="str">
        <f>IFERROR(VLOOKUP(A53, 'Exercise Database'!A:J, 8, FALSE) * B53, "")</f>
        <v/>
      </c>
      <c r="J53" s="1" t="str">
        <f>IFERROR(VLOOKUP(A53, 'Exercise Database'!A:J, 9, FALSE) * B53, "")</f>
        <v/>
      </c>
      <c r="K53" s="1" t="str">
        <f>IFERROR(VLOOKUP(A53, 'Exercise Database'!A:J, 10, FALSE) * B53, "")</f>
        <v/>
      </c>
    </row>
    <row r="54" spans="3:11" x14ac:dyDescent="0.3">
      <c r="C54" s="1" t="str">
        <f>IFERROR(VLOOKUP(A54, 'Exercise Database'!A:J, 2, FALSE) * B54, "")</f>
        <v/>
      </c>
      <c r="D54" s="1" t="str">
        <f>IFERROR(VLOOKUP(A54, 'Exercise Database'!A:J, 3, FALSE) * B54, "")</f>
        <v/>
      </c>
      <c r="E54" s="1" t="str">
        <f>IFERROR(VLOOKUP(A54, 'Exercise Database'!A:J, 4, FALSE) * B54, "")</f>
        <v/>
      </c>
      <c r="F54" s="1" t="str">
        <f>IFERROR(VLOOKUP(A54, 'Exercise Database'!A:J, 5, FALSE) * B54, "")</f>
        <v/>
      </c>
      <c r="G54" s="1" t="str">
        <f>IFERROR(VLOOKUP(A54, 'Exercise Database'!A:J, 6, FALSE) * B54, "")</f>
        <v/>
      </c>
      <c r="H54" s="1" t="str">
        <f>IFERROR(VLOOKUP(A54, 'Exercise Database'!A:J, 7, FALSE) * B54, "")</f>
        <v/>
      </c>
      <c r="I54" s="1" t="str">
        <f>IFERROR(VLOOKUP(A54, 'Exercise Database'!A:J, 8, FALSE) * B54, "")</f>
        <v/>
      </c>
      <c r="J54" s="1" t="str">
        <f>IFERROR(VLOOKUP(A54, 'Exercise Database'!A:J, 9, FALSE) * B54, "")</f>
        <v/>
      </c>
      <c r="K54" s="1" t="str">
        <f>IFERROR(VLOOKUP(A54, 'Exercise Database'!A:J, 10, FALSE) * B54, "")</f>
        <v/>
      </c>
    </row>
    <row r="55" spans="3:11" x14ac:dyDescent="0.3">
      <c r="C55" s="1" t="str">
        <f>IFERROR(VLOOKUP(A55, 'Exercise Database'!A:J, 2, FALSE) * B55, "")</f>
        <v/>
      </c>
      <c r="D55" s="1" t="str">
        <f>IFERROR(VLOOKUP(A55, 'Exercise Database'!A:J, 3, FALSE) * B55, "")</f>
        <v/>
      </c>
      <c r="E55" s="1" t="str">
        <f>IFERROR(VLOOKUP(A55, 'Exercise Database'!A:J, 4, FALSE) * B55, "")</f>
        <v/>
      </c>
      <c r="F55" s="1" t="str">
        <f>IFERROR(VLOOKUP(A55, 'Exercise Database'!A:J, 5, FALSE) * B55, "")</f>
        <v/>
      </c>
      <c r="G55" s="1" t="str">
        <f>IFERROR(VLOOKUP(A55, 'Exercise Database'!A:J, 6, FALSE) * B55, "")</f>
        <v/>
      </c>
      <c r="H55" s="1" t="str">
        <f>IFERROR(VLOOKUP(A55, 'Exercise Database'!A:J, 7, FALSE) * B55, "")</f>
        <v/>
      </c>
      <c r="I55" s="1" t="str">
        <f>IFERROR(VLOOKUP(A55, 'Exercise Database'!A:J, 8, FALSE) * B55, "")</f>
        <v/>
      </c>
      <c r="J55" s="1" t="str">
        <f>IFERROR(VLOOKUP(A55, 'Exercise Database'!A:J, 9, FALSE) * B55, "")</f>
        <v/>
      </c>
      <c r="K55" s="1" t="str">
        <f>IFERROR(VLOOKUP(A55, 'Exercise Database'!A:J, 10, FALSE) * B55, "")</f>
        <v/>
      </c>
    </row>
    <row r="56" spans="3:11" x14ac:dyDescent="0.3">
      <c r="C56" s="1" t="str">
        <f>IFERROR(VLOOKUP(A56, 'Exercise Database'!A:J, 2, FALSE) * B56, "")</f>
        <v/>
      </c>
      <c r="D56" s="1" t="str">
        <f>IFERROR(VLOOKUP(A56, 'Exercise Database'!A:J, 3, FALSE) * B56, "")</f>
        <v/>
      </c>
      <c r="E56" s="1" t="str">
        <f>IFERROR(VLOOKUP(A56, 'Exercise Database'!A:J, 4, FALSE) * B56, "")</f>
        <v/>
      </c>
      <c r="F56" s="1" t="str">
        <f>IFERROR(VLOOKUP(A56, 'Exercise Database'!A:J, 5, FALSE) * B56, "")</f>
        <v/>
      </c>
      <c r="G56" s="1" t="str">
        <f>IFERROR(VLOOKUP(A56, 'Exercise Database'!A:J, 6, FALSE) * B56, "")</f>
        <v/>
      </c>
      <c r="H56" s="1" t="str">
        <f>IFERROR(VLOOKUP(A56, 'Exercise Database'!A:J, 7, FALSE) * B56, "")</f>
        <v/>
      </c>
      <c r="I56" s="1" t="str">
        <f>IFERROR(VLOOKUP(A56, 'Exercise Database'!A:J, 8, FALSE) * B56, "")</f>
        <v/>
      </c>
      <c r="J56" s="1" t="str">
        <f>IFERROR(VLOOKUP(A56, 'Exercise Database'!A:J, 9, FALSE) * B56, "")</f>
        <v/>
      </c>
      <c r="K56" s="1" t="str">
        <f>IFERROR(VLOOKUP(A56, 'Exercise Database'!A:J, 10, FALSE) * B56, "")</f>
        <v/>
      </c>
    </row>
    <row r="57" spans="3:11" x14ac:dyDescent="0.3">
      <c r="C57" s="1" t="str">
        <f>IFERROR(VLOOKUP(A57, 'Exercise Database'!A:J, 2, FALSE) * B57, "")</f>
        <v/>
      </c>
      <c r="D57" s="1" t="str">
        <f>IFERROR(VLOOKUP(A57, 'Exercise Database'!A:J, 3, FALSE) * B57, "")</f>
        <v/>
      </c>
      <c r="E57" s="1" t="str">
        <f>IFERROR(VLOOKUP(A57, 'Exercise Database'!A:J, 4, FALSE) * B57, "")</f>
        <v/>
      </c>
      <c r="F57" s="1" t="str">
        <f>IFERROR(VLOOKUP(A57, 'Exercise Database'!A:J, 5, FALSE) * B57, "")</f>
        <v/>
      </c>
      <c r="G57" s="1" t="str">
        <f>IFERROR(VLOOKUP(A57, 'Exercise Database'!A:J, 6, FALSE) * B57, "")</f>
        <v/>
      </c>
      <c r="H57" s="1" t="str">
        <f>IFERROR(VLOOKUP(A57, 'Exercise Database'!A:J, 7, FALSE) * B57, "")</f>
        <v/>
      </c>
      <c r="I57" s="1" t="str">
        <f>IFERROR(VLOOKUP(A57, 'Exercise Database'!A:J, 8, FALSE) * B57, "")</f>
        <v/>
      </c>
      <c r="J57" s="1" t="str">
        <f>IFERROR(VLOOKUP(A57, 'Exercise Database'!A:J, 9, FALSE) * B57, "")</f>
        <v/>
      </c>
      <c r="K57" s="1" t="str">
        <f>IFERROR(VLOOKUP(A57, 'Exercise Database'!A:J, 10, FALSE) * B57, "")</f>
        <v/>
      </c>
    </row>
    <row r="58" spans="3:11" x14ac:dyDescent="0.3">
      <c r="C58" s="1" t="str">
        <f>IFERROR(VLOOKUP(A58, 'Exercise Database'!A:J, 2, FALSE) * B58, "")</f>
        <v/>
      </c>
      <c r="D58" s="1" t="str">
        <f>IFERROR(VLOOKUP(A58, 'Exercise Database'!A:J, 3, FALSE) * B58, "")</f>
        <v/>
      </c>
      <c r="E58" s="1" t="str">
        <f>IFERROR(VLOOKUP(A58, 'Exercise Database'!A:J, 4, FALSE) * B58, "")</f>
        <v/>
      </c>
      <c r="F58" s="1" t="str">
        <f>IFERROR(VLOOKUP(A58, 'Exercise Database'!A:J, 5, FALSE) * B58, "")</f>
        <v/>
      </c>
      <c r="G58" s="1" t="str">
        <f>IFERROR(VLOOKUP(A58, 'Exercise Database'!A:J, 6, FALSE) * B58, "")</f>
        <v/>
      </c>
      <c r="H58" s="1" t="str">
        <f>IFERROR(VLOOKUP(A58, 'Exercise Database'!A:J, 7, FALSE) * B58, "")</f>
        <v/>
      </c>
      <c r="I58" s="1" t="str">
        <f>IFERROR(VLOOKUP(A58, 'Exercise Database'!A:J, 8, FALSE) * B58, "")</f>
        <v/>
      </c>
      <c r="J58" s="1" t="str">
        <f>IFERROR(VLOOKUP(A58, 'Exercise Database'!A:J, 9, FALSE) * B58, "")</f>
        <v/>
      </c>
      <c r="K58" s="1" t="str">
        <f>IFERROR(VLOOKUP(A58, 'Exercise Database'!A:J, 10, FALSE) * B58, "")</f>
        <v/>
      </c>
    </row>
    <row r="59" spans="3:11" x14ac:dyDescent="0.3">
      <c r="C59" s="1" t="str">
        <f>IFERROR(VLOOKUP(A59, 'Exercise Database'!A:J, 2, FALSE) * B59, "")</f>
        <v/>
      </c>
      <c r="D59" s="1" t="str">
        <f>IFERROR(VLOOKUP(A59, 'Exercise Database'!A:J, 3, FALSE) * B59, "")</f>
        <v/>
      </c>
      <c r="E59" s="1" t="str">
        <f>IFERROR(VLOOKUP(A59, 'Exercise Database'!A:J, 4, FALSE) * B59, "")</f>
        <v/>
      </c>
      <c r="F59" s="1" t="str">
        <f>IFERROR(VLOOKUP(A59, 'Exercise Database'!A:J, 5, FALSE) * B59, "")</f>
        <v/>
      </c>
      <c r="G59" s="1" t="str">
        <f>IFERROR(VLOOKUP(A59, 'Exercise Database'!A:J, 6, FALSE) * B59, "")</f>
        <v/>
      </c>
      <c r="H59" s="1" t="str">
        <f>IFERROR(VLOOKUP(A59, 'Exercise Database'!A:J, 7, FALSE) * B59, "")</f>
        <v/>
      </c>
      <c r="I59" s="1" t="str">
        <f>IFERROR(VLOOKUP(A59, 'Exercise Database'!A:J, 8, FALSE) * B59, "")</f>
        <v/>
      </c>
      <c r="J59" s="1" t="str">
        <f>IFERROR(VLOOKUP(A59, 'Exercise Database'!A:J, 9, FALSE) * B59, "")</f>
        <v/>
      </c>
      <c r="K59" s="1" t="str">
        <f>IFERROR(VLOOKUP(A59, 'Exercise Database'!A:J, 10, FALSE) * B59, "")</f>
        <v/>
      </c>
    </row>
    <row r="60" spans="3:11" x14ac:dyDescent="0.3">
      <c r="C60" s="1" t="str">
        <f>IFERROR(VLOOKUP(A60, 'Exercise Database'!A:J, 2, FALSE) * B60, "")</f>
        <v/>
      </c>
      <c r="D60" s="1" t="str">
        <f>IFERROR(VLOOKUP(A60, 'Exercise Database'!A:J, 3, FALSE) * B60, "")</f>
        <v/>
      </c>
      <c r="E60" s="1" t="str">
        <f>IFERROR(VLOOKUP(A60, 'Exercise Database'!A:J, 4, FALSE) * B60, "")</f>
        <v/>
      </c>
      <c r="F60" s="1" t="str">
        <f>IFERROR(VLOOKUP(A60, 'Exercise Database'!A:J, 5, FALSE) * B60, "")</f>
        <v/>
      </c>
      <c r="G60" s="1" t="str">
        <f>IFERROR(VLOOKUP(A60, 'Exercise Database'!A:J, 6, FALSE) * B60, "")</f>
        <v/>
      </c>
      <c r="H60" s="1" t="str">
        <f>IFERROR(VLOOKUP(A60, 'Exercise Database'!A:J, 7, FALSE) * B60, "")</f>
        <v/>
      </c>
      <c r="I60" s="1" t="str">
        <f>IFERROR(VLOOKUP(A60, 'Exercise Database'!A:J, 8, FALSE) * B60, "")</f>
        <v/>
      </c>
      <c r="J60" s="1" t="str">
        <f>IFERROR(VLOOKUP(A60, 'Exercise Database'!A:J, 9, FALSE) * B60, "")</f>
        <v/>
      </c>
      <c r="K60" s="1" t="str">
        <f>IFERROR(VLOOKUP(A60, 'Exercise Database'!A:J, 10, FALSE) * B60, "")</f>
        <v/>
      </c>
    </row>
    <row r="61" spans="3:11" x14ac:dyDescent="0.3">
      <c r="C61" s="1" t="str">
        <f>IFERROR(VLOOKUP(A61, 'Exercise Database'!A:J, 2, FALSE) * B61, "")</f>
        <v/>
      </c>
      <c r="D61" s="1" t="str">
        <f>IFERROR(VLOOKUP(A61, 'Exercise Database'!A:J, 3, FALSE) * B61, "")</f>
        <v/>
      </c>
      <c r="E61" s="1" t="str">
        <f>IFERROR(VLOOKUP(A61, 'Exercise Database'!A:J, 4, FALSE) * B61, "")</f>
        <v/>
      </c>
      <c r="F61" s="1" t="str">
        <f>IFERROR(VLOOKUP(A61, 'Exercise Database'!A:J, 5, FALSE) * B61, "")</f>
        <v/>
      </c>
      <c r="G61" s="1" t="str">
        <f>IFERROR(VLOOKUP(A61, 'Exercise Database'!A:J, 6, FALSE) * B61, "")</f>
        <v/>
      </c>
      <c r="H61" s="1" t="str">
        <f>IFERROR(VLOOKUP(A61, 'Exercise Database'!A:J, 7, FALSE) * B61, "")</f>
        <v/>
      </c>
      <c r="I61" s="1" t="str">
        <f>IFERROR(VLOOKUP(A61, 'Exercise Database'!A:J, 8, FALSE) * B61, "")</f>
        <v/>
      </c>
      <c r="J61" s="1" t="str">
        <f>IFERROR(VLOOKUP(A61, 'Exercise Database'!A:J, 9, FALSE) * B61, "")</f>
        <v/>
      </c>
      <c r="K61" s="1" t="str">
        <f>IFERROR(VLOOKUP(A61, 'Exercise Database'!A:J, 10, FALSE) * B61, "")</f>
        <v/>
      </c>
    </row>
    <row r="62" spans="3:11" x14ac:dyDescent="0.3">
      <c r="C62" s="1" t="str">
        <f>IFERROR(VLOOKUP(A62, 'Exercise Database'!A:J, 2, FALSE) * B62, "")</f>
        <v/>
      </c>
      <c r="D62" s="1" t="str">
        <f>IFERROR(VLOOKUP(A62, 'Exercise Database'!A:J, 3, FALSE) * B62, "")</f>
        <v/>
      </c>
      <c r="E62" s="1" t="str">
        <f>IFERROR(VLOOKUP(A62, 'Exercise Database'!A:J, 4, FALSE) * B62, "")</f>
        <v/>
      </c>
      <c r="F62" s="1" t="str">
        <f>IFERROR(VLOOKUP(A62, 'Exercise Database'!A:J, 5, FALSE) * B62, "")</f>
        <v/>
      </c>
      <c r="G62" s="1" t="str">
        <f>IFERROR(VLOOKUP(A62, 'Exercise Database'!A:J, 6, FALSE) * B62, "")</f>
        <v/>
      </c>
      <c r="H62" s="1" t="str">
        <f>IFERROR(VLOOKUP(A62, 'Exercise Database'!A:J, 7, FALSE) * B62, "")</f>
        <v/>
      </c>
      <c r="I62" s="1" t="str">
        <f>IFERROR(VLOOKUP(A62, 'Exercise Database'!A:J, 8, FALSE) * B62, "")</f>
        <v/>
      </c>
      <c r="J62" s="1" t="str">
        <f>IFERROR(VLOOKUP(A62, 'Exercise Database'!A:J, 9, FALSE) * B62, "")</f>
        <v/>
      </c>
      <c r="K62" s="1" t="str">
        <f>IFERROR(VLOOKUP(A62, 'Exercise Database'!A:J, 10, FALSE) * B62, "")</f>
        <v/>
      </c>
    </row>
    <row r="63" spans="3:11" x14ac:dyDescent="0.3">
      <c r="C63" s="1" t="str">
        <f>IFERROR(VLOOKUP(A63, 'Exercise Database'!A:J, 2, FALSE) * B63, "")</f>
        <v/>
      </c>
      <c r="D63" s="1" t="str">
        <f>IFERROR(VLOOKUP(A63, 'Exercise Database'!A:J, 3, FALSE) * B63, "")</f>
        <v/>
      </c>
      <c r="E63" s="1" t="str">
        <f>IFERROR(VLOOKUP(A63, 'Exercise Database'!A:J, 4, FALSE) * B63, "")</f>
        <v/>
      </c>
      <c r="F63" s="1" t="str">
        <f>IFERROR(VLOOKUP(A63, 'Exercise Database'!A:J, 5, FALSE) * B63, "")</f>
        <v/>
      </c>
      <c r="G63" s="1" t="str">
        <f>IFERROR(VLOOKUP(A63, 'Exercise Database'!A:J, 6, FALSE) * B63, "")</f>
        <v/>
      </c>
      <c r="H63" s="1" t="str">
        <f>IFERROR(VLOOKUP(A63, 'Exercise Database'!A:J, 7, FALSE) * B63, "")</f>
        <v/>
      </c>
      <c r="I63" s="1" t="str">
        <f>IFERROR(VLOOKUP(A63, 'Exercise Database'!A:J, 8, FALSE) * B63, "")</f>
        <v/>
      </c>
      <c r="J63" s="1" t="str">
        <f>IFERROR(VLOOKUP(A63, 'Exercise Database'!A:J, 9, FALSE) * B63, "")</f>
        <v/>
      </c>
      <c r="K63" s="1" t="str">
        <f>IFERROR(VLOOKUP(A63, 'Exercise Database'!A:J, 10, FALSE) * B63, "")</f>
        <v/>
      </c>
    </row>
    <row r="64" spans="3:11" x14ac:dyDescent="0.3">
      <c r="C64" s="1" t="str">
        <f>IFERROR(VLOOKUP(A64, 'Exercise Database'!A:J, 2, FALSE) * B64, "")</f>
        <v/>
      </c>
      <c r="D64" s="1" t="str">
        <f>IFERROR(VLOOKUP(A64, 'Exercise Database'!A:J, 3, FALSE) * B64, "")</f>
        <v/>
      </c>
      <c r="E64" s="1" t="str">
        <f>IFERROR(VLOOKUP(A64, 'Exercise Database'!A:J, 4, FALSE) * B64, "")</f>
        <v/>
      </c>
      <c r="F64" s="1" t="str">
        <f>IFERROR(VLOOKUP(A64, 'Exercise Database'!A:J, 5, FALSE) * B64, "")</f>
        <v/>
      </c>
      <c r="G64" s="1" t="str">
        <f>IFERROR(VLOOKUP(A64, 'Exercise Database'!A:J, 6, FALSE) * B64, "")</f>
        <v/>
      </c>
      <c r="H64" s="1" t="str">
        <f>IFERROR(VLOOKUP(A64, 'Exercise Database'!A:J, 7, FALSE) * B64, "")</f>
        <v/>
      </c>
      <c r="I64" s="1" t="str">
        <f>IFERROR(VLOOKUP(A64, 'Exercise Database'!A:J, 8, FALSE) * B64, "")</f>
        <v/>
      </c>
      <c r="J64" s="1" t="str">
        <f>IFERROR(VLOOKUP(A64, 'Exercise Database'!A:J, 9, FALSE) * B64, "")</f>
        <v/>
      </c>
      <c r="K64" s="1" t="str">
        <f>IFERROR(VLOOKUP(A64, 'Exercise Database'!A:J, 10, FALSE) * B64, "")</f>
        <v/>
      </c>
    </row>
    <row r="65" spans="3:11" x14ac:dyDescent="0.3">
      <c r="C65" s="1" t="str">
        <f>IFERROR(VLOOKUP(A65, 'Exercise Database'!A:J, 2, FALSE) * B65, "")</f>
        <v/>
      </c>
      <c r="D65" s="1" t="str">
        <f>IFERROR(VLOOKUP(A65, 'Exercise Database'!A:J, 3, FALSE) * B65, "")</f>
        <v/>
      </c>
      <c r="E65" s="1" t="str">
        <f>IFERROR(VLOOKUP(A65, 'Exercise Database'!A:J, 4, FALSE) * B65, "")</f>
        <v/>
      </c>
      <c r="F65" s="1" t="str">
        <f>IFERROR(VLOOKUP(A65, 'Exercise Database'!A:J, 5, FALSE) * B65, "")</f>
        <v/>
      </c>
      <c r="G65" s="1" t="str">
        <f>IFERROR(VLOOKUP(A65, 'Exercise Database'!A:J, 6, FALSE) * B65, "")</f>
        <v/>
      </c>
      <c r="H65" s="1" t="str">
        <f>IFERROR(VLOOKUP(A65, 'Exercise Database'!A:J, 7, FALSE) * B65, "")</f>
        <v/>
      </c>
      <c r="I65" s="1" t="str">
        <f>IFERROR(VLOOKUP(A65, 'Exercise Database'!A:J, 8, FALSE) * B65, "")</f>
        <v/>
      </c>
      <c r="J65" s="1" t="str">
        <f>IFERROR(VLOOKUP(A65, 'Exercise Database'!A:J, 9, FALSE) * B65, "")</f>
        <v/>
      </c>
      <c r="K65" s="1" t="str">
        <f>IFERROR(VLOOKUP(A65, 'Exercise Database'!A:J, 10, FALSE) * B65, "")</f>
        <v/>
      </c>
    </row>
    <row r="66" spans="3:11" x14ac:dyDescent="0.3">
      <c r="C66" s="1" t="str">
        <f>IFERROR(VLOOKUP(A66, 'Exercise Database'!A:J, 2, FALSE) * B66, "")</f>
        <v/>
      </c>
      <c r="D66" s="1" t="str">
        <f>IFERROR(VLOOKUP(A66, 'Exercise Database'!A:J, 3, FALSE) * B66, "")</f>
        <v/>
      </c>
      <c r="E66" s="1" t="str">
        <f>IFERROR(VLOOKUP(A66, 'Exercise Database'!A:J, 4, FALSE) * B66, "")</f>
        <v/>
      </c>
      <c r="F66" s="1" t="str">
        <f>IFERROR(VLOOKUP(A66, 'Exercise Database'!A:J, 5, FALSE) * B66, "")</f>
        <v/>
      </c>
      <c r="G66" s="1" t="str">
        <f>IFERROR(VLOOKUP(A66, 'Exercise Database'!A:J, 6, FALSE) * B66, "")</f>
        <v/>
      </c>
      <c r="H66" s="1" t="str">
        <f>IFERROR(VLOOKUP(A66, 'Exercise Database'!A:J, 7, FALSE) * B66, "")</f>
        <v/>
      </c>
      <c r="I66" s="1" t="str">
        <f>IFERROR(VLOOKUP(A66, 'Exercise Database'!A:J, 8, FALSE) * B66, "")</f>
        <v/>
      </c>
      <c r="J66" s="1" t="str">
        <f>IFERROR(VLOOKUP(A66, 'Exercise Database'!A:J, 9, FALSE) * B66, "")</f>
        <v/>
      </c>
      <c r="K66" s="1" t="str">
        <f>IFERROR(VLOOKUP(A66, 'Exercise Database'!A:J, 10, FALSE) * B66, "")</f>
        <v/>
      </c>
    </row>
    <row r="67" spans="3:11" x14ac:dyDescent="0.3">
      <c r="C67" s="1" t="str">
        <f>IFERROR(VLOOKUP(A67, 'Exercise Database'!A:J, 2, FALSE) * B67, "")</f>
        <v/>
      </c>
      <c r="D67" s="1" t="str">
        <f>IFERROR(VLOOKUP(A67, 'Exercise Database'!A:J, 3, FALSE) * B67, "")</f>
        <v/>
      </c>
      <c r="E67" s="1" t="str">
        <f>IFERROR(VLOOKUP(A67, 'Exercise Database'!A:J, 4, FALSE) * B67, "")</f>
        <v/>
      </c>
      <c r="F67" s="1" t="str">
        <f>IFERROR(VLOOKUP(A67, 'Exercise Database'!A:J, 5, FALSE) * B67, "")</f>
        <v/>
      </c>
      <c r="G67" s="1" t="str">
        <f>IFERROR(VLOOKUP(A67, 'Exercise Database'!A:J, 6, FALSE) * B67, "")</f>
        <v/>
      </c>
      <c r="H67" s="1" t="str">
        <f>IFERROR(VLOOKUP(A67, 'Exercise Database'!A:J, 7, FALSE) * B67, "")</f>
        <v/>
      </c>
      <c r="I67" s="1" t="str">
        <f>IFERROR(VLOOKUP(A67, 'Exercise Database'!A:J, 8, FALSE) * B67, "")</f>
        <v/>
      </c>
      <c r="J67" s="1" t="str">
        <f>IFERROR(VLOOKUP(A67, 'Exercise Database'!A:J, 9, FALSE) * B67, "")</f>
        <v/>
      </c>
      <c r="K67" s="1" t="str">
        <f>IFERROR(VLOOKUP(A67, 'Exercise Database'!A:J, 10, FALSE) * B67, "")</f>
        <v/>
      </c>
    </row>
    <row r="68" spans="3:11" x14ac:dyDescent="0.3">
      <c r="C68" s="1" t="str">
        <f>IFERROR(VLOOKUP(A68, 'Exercise Database'!A:J, 2, FALSE) * B68, "")</f>
        <v/>
      </c>
      <c r="D68" s="1" t="str">
        <f>IFERROR(VLOOKUP(A68, 'Exercise Database'!A:J, 3, FALSE) * B68, "")</f>
        <v/>
      </c>
      <c r="E68" s="1" t="str">
        <f>IFERROR(VLOOKUP(A68, 'Exercise Database'!A:J, 4, FALSE) * B68, "")</f>
        <v/>
      </c>
      <c r="F68" s="1" t="str">
        <f>IFERROR(VLOOKUP(A68, 'Exercise Database'!A:J, 5, FALSE) * B68, "")</f>
        <v/>
      </c>
      <c r="G68" s="1" t="str">
        <f>IFERROR(VLOOKUP(A68, 'Exercise Database'!A:J, 6, FALSE) * B68, "")</f>
        <v/>
      </c>
      <c r="H68" s="1" t="str">
        <f>IFERROR(VLOOKUP(A68, 'Exercise Database'!A:J, 7, FALSE) * B68, "")</f>
        <v/>
      </c>
      <c r="I68" s="1" t="str">
        <f>IFERROR(VLOOKUP(A68, 'Exercise Database'!A:J, 8, FALSE) * B68, "")</f>
        <v/>
      </c>
      <c r="J68" s="1" t="str">
        <f>IFERROR(VLOOKUP(A68, 'Exercise Database'!A:J, 9, FALSE) * B68, "")</f>
        <v/>
      </c>
      <c r="K68" s="1" t="str">
        <f>IFERROR(VLOOKUP(A68, 'Exercise Database'!A:J, 10, FALSE) * B68, "")</f>
        <v/>
      </c>
    </row>
    <row r="69" spans="3:11" x14ac:dyDescent="0.3">
      <c r="C69" s="1" t="str">
        <f>IFERROR(VLOOKUP(A69, 'Exercise Database'!A:J, 2, FALSE) * B69, "")</f>
        <v/>
      </c>
      <c r="D69" s="1" t="str">
        <f>IFERROR(VLOOKUP(A69, 'Exercise Database'!A:J, 3, FALSE) * B69, "")</f>
        <v/>
      </c>
      <c r="E69" s="1" t="str">
        <f>IFERROR(VLOOKUP(A69, 'Exercise Database'!A:J, 4, FALSE) * B69, "")</f>
        <v/>
      </c>
      <c r="F69" s="1" t="str">
        <f>IFERROR(VLOOKUP(A69, 'Exercise Database'!A:J, 5, FALSE) * B69, "")</f>
        <v/>
      </c>
      <c r="G69" s="1" t="str">
        <f>IFERROR(VLOOKUP(A69, 'Exercise Database'!A:J, 6, FALSE) * B69, "")</f>
        <v/>
      </c>
      <c r="H69" s="1" t="str">
        <f>IFERROR(VLOOKUP(A69, 'Exercise Database'!A:J, 7, FALSE) * B69, "")</f>
        <v/>
      </c>
      <c r="I69" s="1" t="str">
        <f>IFERROR(VLOOKUP(A69, 'Exercise Database'!A:J, 8, FALSE) * B69, "")</f>
        <v/>
      </c>
      <c r="J69" s="1" t="str">
        <f>IFERROR(VLOOKUP(A69, 'Exercise Database'!A:J, 9, FALSE) * B69, "")</f>
        <v/>
      </c>
      <c r="K69" s="1" t="str">
        <f>IFERROR(VLOOKUP(A69, 'Exercise Database'!A:J, 10, FALSE) * B69, "")</f>
        <v/>
      </c>
    </row>
    <row r="70" spans="3:11" x14ac:dyDescent="0.3">
      <c r="C70" s="1" t="str">
        <f>IFERROR(VLOOKUP(A70, 'Exercise Database'!A:J, 2, FALSE) * B70, "")</f>
        <v/>
      </c>
      <c r="D70" s="1" t="str">
        <f>IFERROR(VLOOKUP(A70, 'Exercise Database'!A:J, 3, FALSE) * B70, "")</f>
        <v/>
      </c>
      <c r="E70" s="1" t="str">
        <f>IFERROR(VLOOKUP(A70, 'Exercise Database'!A:J, 4, FALSE) * B70, "")</f>
        <v/>
      </c>
      <c r="F70" s="1" t="str">
        <f>IFERROR(VLOOKUP(A70, 'Exercise Database'!A:J, 5, FALSE) * B70, "")</f>
        <v/>
      </c>
      <c r="G70" s="1" t="str">
        <f>IFERROR(VLOOKUP(A70, 'Exercise Database'!A:J, 6, FALSE) * B70, "")</f>
        <v/>
      </c>
      <c r="H70" s="1" t="str">
        <f>IFERROR(VLOOKUP(A70, 'Exercise Database'!A:J, 7, FALSE) * B70, "")</f>
        <v/>
      </c>
      <c r="I70" s="1" t="str">
        <f>IFERROR(VLOOKUP(A70, 'Exercise Database'!A:J, 8, FALSE) * B70, "")</f>
        <v/>
      </c>
      <c r="J70" s="1" t="str">
        <f>IFERROR(VLOOKUP(A70, 'Exercise Database'!A:J, 9, FALSE) * B70, "")</f>
        <v/>
      </c>
      <c r="K70" s="1" t="str">
        <f>IFERROR(VLOOKUP(A70, 'Exercise Database'!A:J, 10, FALSE) * B70, "")</f>
        <v/>
      </c>
    </row>
    <row r="71" spans="3:11" x14ac:dyDescent="0.3">
      <c r="C71" s="1" t="str">
        <f>IFERROR(VLOOKUP(A71, 'Exercise Database'!A:J, 2, FALSE) * B71, "")</f>
        <v/>
      </c>
      <c r="D71" s="1" t="str">
        <f>IFERROR(VLOOKUP(A71, 'Exercise Database'!A:J, 3, FALSE) * B71, "")</f>
        <v/>
      </c>
      <c r="E71" s="1" t="str">
        <f>IFERROR(VLOOKUP(A71, 'Exercise Database'!A:J, 4, FALSE) * B71, "")</f>
        <v/>
      </c>
      <c r="F71" s="1" t="str">
        <f>IFERROR(VLOOKUP(A71, 'Exercise Database'!A:J, 5, FALSE) * B71, "")</f>
        <v/>
      </c>
      <c r="G71" s="1" t="str">
        <f>IFERROR(VLOOKUP(A71, 'Exercise Database'!A:J, 6, FALSE) * B71, "")</f>
        <v/>
      </c>
      <c r="H71" s="1" t="str">
        <f>IFERROR(VLOOKUP(A71, 'Exercise Database'!A:J, 7, FALSE) * B71, "")</f>
        <v/>
      </c>
      <c r="I71" s="1" t="str">
        <f>IFERROR(VLOOKUP(A71, 'Exercise Database'!A:J, 8, FALSE) * B71, "")</f>
        <v/>
      </c>
      <c r="J71" s="1" t="str">
        <f>IFERROR(VLOOKUP(A71, 'Exercise Database'!A:J, 9, FALSE) * B71, "")</f>
        <v/>
      </c>
      <c r="K71" s="1" t="str">
        <f>IFERROR(VLOOKUP(A71, 'Exercise Database'!A:J, 10, FALSE) * B71, "")</f>
        <v/>
      </c>
    </row>
    <row r="72" spans="3:11" x14ac:dyDescent="0.3">
      <c r="C72" s="1" t="str">
        <f>IFERROR(VLOOKUP(A72, 'Exercise Database'!A:J, 2, FALSE) * B72, "")</f>
        <v/>
      </c>
      <c r="D72" s="1" t="str">
        <f>IFERROR(VLOOKUP(A72, 'Exercise Database'!A:J, 3, FALSE) * B72, "")</f>
        <v/>
      </c>
      <c r="E72" s="1" t="str">
        <f>IFERROR(VLOOKUP(A72, 'Exercise Database'!A:J, 4, FALSE) * B72, "")</f>
        <v/>
      </c>
      <c r="F72" s="1" t="str">
        <f>IFERROR(VLOOKUP(A72, 'Exercise Database'!A:J, 5, FALSE) * B72, "")</f>
        <v/>
      </c>
      <c r="G72" s="1" t="str">
        <f>IFERROR(VLOOKUP(A72, 'Exercise Database'!A:J, 6, FALSE) * B72, "")</f>
        <v/>
      </c>
      <c r="H72" s="1" t="str">
        <f>IFERROR(VLOOKUP(A72, 'Exercise Database'!A:J, 7, FALSE) * B72, "")</f>
        <v/>
      </c>
      <c r="I72" s="1" t="str">
        <f>IFERROR(VLOOKUP(A72, 'Exercise Database'!A:J, 8, FALSE) * B72, "")</f>
        <v/>
      </c>
      <c r="J72" s="1" t="str">
        <f>IFERROR(VLOOKUP(A72, 'Exercise Database'!A:J, 9, FALSE) * B72, "")</f>
        <v/>
      </c>
      <c r="K72" s="1" t="str">
        <f>IFERROR(VLOOKUP(A72, 'Exercise Database'!A:J, 10, FALSE) * B72, "")</f>
        <v/>
      </c>
    </row>
    <row r="73" spans="3:11" x14ac:dyDescent="0.3">
      <c r="C73" s="1" t="str">
        <f>IFERROR(VLOOKUP(A73, 'Exercise Database'!A:J, 2, FALSE) * B73, "")</f>
        <v/>
      </c>
      <c r="D73" s="1" t="str">
        <f>IFERROR(VLOOKUP(A73, 'Exercise Database'!A:J, 3, FALSE) * B73, "")</f>
        <v/>
      </c>
      <c r="E73" s="1" t="str">
        <f>IFERROR(VLOOKUP(A73, 'Exercise Database'!A:J, 4, FALSE) * B73, "")</f>
        <v/>
      </c>
      <c r="F73" s="1" t="str">
        <f>IFERROR(VLOOKUP(A73, 'Exercise Database'!A:J, 5, FALSE) * B73, "")</f>
        <v/>
      </c>
      <c r="G73" s="1" t="str">
        <f>IFERROR(VLOOKUP(A73, 'Exercise Database'!A:J, 6, FALSE) * B73, "")</f>
        <v/>
      </c>
      <c r="H73" s="1" t="str">
        <f>IFERROR(VLOOKUP(A73, 'Exercise Database'!A:J, 7, FALSE) * B73, "")</f>
        <v/>
      </c>
      <c r="I73" s="1" t="str">
        <f>IFERROR(VLOOKUP(A73, 'Exercise Database'!A:J, 8, FALSE) * B73, "")</f>
        <v/>
      </c>
      <c r="J73" s="1" t="str">
        <f>IFERROR(VLOOKUP(A73, 'Exercise Database'!A:J, 9, FALSE) * B73, "")</f>
        <v/>
      </c>
      <c r="K73" s="1" t="str">
        <f>IFERROR(VLOOKUP(A73, 'Exercise Database'!A:J, 10, FALSE) * B73, "")</f>
        <v/>
      </c>
    </row>
    <row r="74" spans="3:11" x14ac:dyDescent="0.3">
      <c r="C74" s="1" t="str">
        <f>IFERROR(VLOOKUP(A74, 'Exercise Database'!A:J, 2, FALSE) * B74, "")</f>
        <v/>
      </c>
      <c r="D74" s="1" t="str">
        <f>IFERROR(VLOOKUP(A74, 'Exercise Database'!A:J, 3, FALSE) * B74, "")</f>
        <v/>
      </c>
      <c r="E74" s="1" t="str">
        <f>IFERROR(VLOOKUP(A74, 'Exercise Database'!A:J, 4, FALSE) * B74, "")</f>
        <v/>
      </c>
      <c r="F74" s="1" t="str">
        <f>IFERROR(VLOOKUP(A74, 'Exercise Database'!A:J, 5, FALSE) * B74, "")</f>
        <v/>
      </c>
      <c r="G74" s="1" t="str">
        <f>IFERROR(VLOOKUP(A74, 'Exercise Database'!A:J, 6, FALSE) * B74, "")</f>
        <v/>
      </c>
      <c r="H74" s="1" t="str">
        <f>IFERROR(VLOOKUP(A74, 'Exercise Database'!A:J, 7, FALSE) * B74, "")</f>
        <v/>
      </c>
      <c r="I74" s="1" t="str">
        <f>IFERROR(VLOOKUP(A74, 'Exercise Database'!A:J, 8, FALSE) * B74, "")</f>
        <v/>
      </c>
      <c r="J74" s="1" t="str">
        <f>IFERROR(VLOOKUP(A74, 'Exercise Database'!A:J, 9, FALSE) * B74, "")</f>
        <v/>
      </c>
      <c r="K74" s="1" t="str">
        <f>IFERROR(VLOOKUP(A74, 'Exercise Database'!A:J, 10, FALSE) * B74, "")</f>
        <v/>
      </c>
    </row>
    <row r="75" spans="3:11" x14ac:dyDescent="0.3">
      <c r="C75" s="1" t="str">
        <f>IFERROR(VLOOKUP(A75, 'Exercise Database'!A:J, 2, FALSE) * B75, "")</f>
        <v/>
      </c>
      <c r="D75" s="1" t="str">
        <f>IFERROR(VLOOKUP(A75, 'Exercise Database'!A:J, 3, FALSE) * B75, "")</f>
        <v/>
      </c>
      <c r="E75" s="1" t="str">
        <f>IFERROR(VLOOKUP(A75, 'Exercise Database'!A:J, 4, FALSE) * B75, "")</f>
        <v/>
      </c>
      <c r="F75" s="1" t="str">
        <f>IFERROR(VLOOKUP(A75, 'Exercise Database'!A:J, 5, FALSE) * B75, "")</f>
        <v/>
      </c>
      <c r="G75" s="1" t="str">
        <f>IFERROR(VLOOKUP(A75, 'Exercise Database'!A:J, 6, FALSE) * B75, "")</f>
        <v/>
      </c>
      <c r="H75" s="1" t="str">
        <f>IFERROR(VLOOKUP(A75, 'Exercise Database'!A:J, 7, FALSE) * B75, "")</f>
        <v/>
      </c>
      <c r="I75" s="1" t="str">
        <f>IFERROR(VLOOKUP(A75, 'Exercise Database'!A:J, 8, FALSE) * B75, "")</f>
        <v/>
      </c>
      <c r="J75" s="1" t="str">
        <f>IFERROR(VLOOKUP(A75, 'Exercise Database'!A:J, 9, FALSE) * B75, "")</f>
        <v/>
      </c>
      <c r="K75" s="1" t="str">
        <f>IFERROR(VLOOKUP(A75, 'Exercise Database'!A:J, 10, FALSE) * B75, "")</f>
        <v/>
      </c>
    </row>
    <row r="76" spans="3:11" x14ac:dyDescent="0.3">
      <c r="C76" s="1" t="str">
        <f>IFERROR(VLOOKUP(A76, 'Exercise Database'!A:J, 2, FALSE) * B76, "")</f>
        <v/>
      </c>
      <c r="D76" s="1" t="str">
        <f>IFERROR(VLOOKUP(A76, 'Exercise Database'!A:J, 3, FALSE) * B76, "")</f>
        <v/>
      </c>
      <c r="E76" s="1" t="str">
        <f>IFERROR(VLOOKUP(A76, 'Exercise Database'!A:J, 4, FALSE) * B76, "")</f>
        <v/>
      </c>
      <c r="F76" s="1" t="str">
        <f>IFERROR(VLOOKUP(A76, 'Exercise Database'!A:J, 5, FALSE) * B76, "")</f>
        <v/>
      </c>
      <c r="G76" s="1" t="str">
        <f>IFERROR(VLOOKUP(A76, 'Exercise Database'!A:J, 6, FALSE) * B76, "")</f>
        <v/>
      </c>
      <c r="H76" s="1" t="str">
        <f>IFERROR(VLOOKUP(A76, 'Exercise Database'!A:J, 7, FALSE) * B76, "")</f>
        <v/>
      </c>
      <c r="I76" s="1" t="str">
        <f>IFERROR(VLOOKUP(A76, 'Exercise Database'!A:J, 8, FALSE) * B76, "")</f>
        <v/>
      </c>
      <c r="J76" s="1" t="str">
        <f>IFERROR(VLOOKUP(A76, 'Exercise Database'!A:J, 9, FALSE) * B76, "")</f>
        <v/>
      </c>
      <c r="K76" s="1" t="str">
        <f>IFERROR(VLOOKUP(A76, 'Exercise Database'!A:J, 10, FALSE) * B76, "")</f>
        <v/>
      </c>
    </row>
    <row r="77" spans="3:11" x14ac:dyDescent="0.3">
      <c r="C77" s="1" t="str">
        <f>IFERROR(VLOOKUP(A77, 'Exercise Database'!A:J, 2, FALSE) * B77, "")</f>
        <v/>
      </c>
      <c r="D77" s="1" t="str">
        <f>IFERROR(VLOOKUP(A77, 'Exercise Database'!A:J, 3, FALSE) * B77, "")</f>
        <v/>
      </c>
      <c r="E77" s="1" t="str">
        <f>IFERROR(VLOOKUP(A77, 'Exercise Database'!A:J, 4, FALSE) * B77, "")</f>
        <v/>
      </c>
      <c r="F77" s="1" t="str">
        <f>IFERROR(VLOOKUP(A77, 'Exercise Database'!A:J, 5, FALSE) * B77, "")</f>
        <v/>
      </c>
      <c r="G77" s="1" t="str">
        <f>IFERROR(VLOOKUP(A77, 'Exercise Database'!A:J, 6, FALSE) * B77, "")</f>
        <v/>
      </c>
      <c r="H77" s="1" t="str">
        <f>IFERROR(VLOOKUP(A77, 'Exercise Database'!A:J, 7, FALSE) * B77, "")</f>
        <v/>
      </c>
      <c r="I77" s="1" t="str">
        <f>IFERROR(VLOOKUP(A77, 'Exercise Database'!A:J, 8, FALSE) * B77, "")</f>
        <v/>
      </c>
      <c r="J77" s="1" t="str">
        <f>IFERROR(VLOOKUP(A77, 'Exercise Database'!A:J, 9, FALSE) * B77, "")</f>
        <v/>
      </c>
      <c r="K77" s="1" t="str">
        <f>IFERROR(VLOOKUP(A77, 'Exercise Database'!A:J, 10, FALSE) * B77, "")</f>
        <v/>
      </c>
    </row>
    <row r="78" spans="3:11" x14ac:dyDescent="0.3">
      <c r="C78" s="1" t="str">
        <f>IFERROR(VLOOKUP(A78, 'Exercise Database'!A:J, 2, FALSE) * B78, "")</f>
        <v/>
      </c>
      <c r="D78" s="1" t="str">
        <f>IFERROR(VLOOKUP(A78, 'Exercise Database'!A:J, 3, FALSE) * B78, "")</f>
        <v/>
      </c>
      <c r="E78" s="1" t="str">
        <f>IFERROR(VLOOKUP(A78, 'Exercise Database'!A:J, 4, FALSE) * B78, "")</f>
        <v/>
      </c>
      <c r="F78" s="1" t="str">
        <f>IFERROR(VLOOKUP(A78, 'Exercise Database'!A:J, 5, FALSE) * B78, "")</f>
        <v/>
      </c>
      <c r="G78" s="1" t="str">
        <f>IFERROR(VLOOKUP(A78, 'Exercise Database'!A:J, 6, FALSE) * B78, "")</f>
        <v/>
      </c>
      <c r="H78" s="1" t="str">
        <f>IFERROR(VLOOKUP(A78, 'Exercise Database'!A:J, 7, FALSE) * B78, "")</f>
        <v/>
      </c>
      <c r="I78" s="1" t="str">
        <f>IFERROR(VLOOKUP(A78, 'Exercise Database'!A:J, 8, FALSE) * B78, "")</f>
        <v/>
      </c>
      <c r="J78" s="1" t="str">
        <f>IFERROR(VLOOKUP(A78, 'Exercise Database'!A:J, 9, FALSE) * B78, "")</f>
        <v/>
      </c>
      <c r="K78" s="1" t="str">
        <f>IFERROR(VLOOKUP(A78, 'Exercise Database'!A:J, 10, FALSE) * B78, "")</f>
        <v/>
      </c>
    </row>
    <row r="79" spans="3:11" x14ac:dyDescent="0.3">
      <c r="C79" s="1" t="str">
        <f>IFERROR(VLOOKUP(A79, 'Exercise Database'!A:J, 2, FALSE) * B79, "")</f>
        <v/>
      </c>
      <c r="D79" s="1" t="str">
        <f>IFERROR(VLOOKUP(A79, 'Exercise Database'!A:J, 3, FALSE) * B79, "")</f>
        <v/>
      </c>
      <c r="E79" s="1" t="str">
        <f>IFERROR(VLOOKUP(A79, 'Exercise Database'!A:J, 4, FALSE) * B79, "")</f>
        <v/>
      </c>
      <c r="F79" s="1" t="str">
        <f>IFERROR(VLOOKUP(A79, 'Exercise Database'!A:J, 5, FALSE) * B79, "")</f>
        <v/>
      </c>
      <c r="G79" s="1" t="str">
        <f>IFERROR(VLOOKUP(A79, 'Exercise Database'!A:J, 6, FALSE) * B79, "")</f>
        <v/>
      </c>
      <c r="H79" s="1" t="str">
        <f>IFERROR(VLOOKUP(A79, 'Exercise Database'!A:J, 7, FALSE) * B79, "")</f>
        <v/>
      </c>
      <c r="I79" s="1" t="str">
        <f>IFERROR(VLOOKUP(A79, 'Exercise Database'!A:J, 8, FALSE) * B79, "")</f>
        <v/>
      </c>
      <c r="J79" s="1" t="str">
        <f>IFERROR(VLOOKUP(A79, 'Exercise Database'!A:J, 9, FALSE) * B79, "")</f>
        <v/>
      </c>
      <c r="K79" s="1" t="str">
        <f>IFERROR(VLOOKUP(A79, 'Exercise Database'!A:J, 10, FALSE) * B79, "")</f>
        <v/>
      </c>
    </row>
    <row r="80" spans="3:11" x14ac:dyDescent="0.3">
      <c r="C80" s="1" t="str">
        <f>IFERROR(VLOOKUP(A80, 'Exercise Database'!A:J, 2, FALSE) * B80, "")</f>
        <v/>
      </c>
      <c r="D80" s="1" t="str">
        <f>IFERROR(VLOOKUP(A80, 'Exercise Database'!A:J, 3, FALSE) * B80, "")</f>
        <v/>
      </c>
      <c r="E80" s="1" t="str">
        <f>IFERROR(VLOOKUP(A80, 'Exercise Database'!A:J, 4, FALSE) * B80, "")</f>
        <v/>
      </c>
      <c r="F80" s="1" t="str">
        <f>IFERROR(VLOOKUP(A80, 'Exercise Database'!A:J, 5, FALSE) * B80, "")</f>
        <v/>
      </c>
      <c r="G80" s="1" t="str">
        <f>IFERROR(VLOOKUP(A80, 'Exercise Database'!A:J, 6, FALSE) * B80, "")</f>
        <v/>
      </c>
      <c r="H80" s="1" t="str">
        <f>IFERROR(VLOOKUP(A80, 'Exercise Database'!A:J, 7, FALSE) * B80, "")</f>
        <v/>
      </c>
      <c r="I80" s="1" t="str">
        <f>IFERROR(VLOOKUP(A80, 'Exercise Database'!A:J, 8, FALSE) * B80, "")</f>
        <v/>
      </c>
      <c r="J80" s="1" t="str">
        <f>IFERROR(VLOOKUP(A80, 'Exercise Database'!A:J, 9, FALSE) * B80, "")</f>
        <v/>
      </c>
      <c r="K80" s="1" t="str">
        <f>IFERROR(VLOOKUP(A80, 'Exercise Database'!A:J, 10, FALSE) * B80, "")</f>
        <v/>
      </c>
    </row>
    <row r="81" spans="3:11" x14ac:dyDescent="0.3">
      <c r="C81" s="1" t="str">
        <f>IFERROR(VLOOKUP(A81, 'Exercise Database'!A:J, 2, FALSE) * B81, "")</f>
        <v/>
      </c>
      <c r="D81" s="1" t="str">
        <f>IFERROR(VLOOKUP(A81, 'Exercise Database'!A:J, 3, FALSE) * B81, "")</f>
        <v/>
      </c>
      <c r="E81" s="1" t="str">
        <f>IFERROR(VLOOKUP(A81, 'Exercise Database'!A:J, 4, FALSE) * B81, "")</f>
        <v/>
      </c>
      <c r="F81" s="1" t="str">
        <f>IFERROR(VLOOKUP(A81, 'Exercise Database'!A:J, 5, FALSE) * B81, "")</f>
        <v/>
      </c>
      <c r="G81" s="1" t="str">
        <f>IFERROR(VLOOKUP(A81, 'Exercise Database'!A:J, 6, FALSE) * B81, "")</f>
        <v/>
      </c>
      <c r="H81" s="1" t="str">
        <f>IFERROR(VLOOKUP(A81, 'Exercise Database'!A:J, 7, FALSE) * B81, "")</f>
        <v/>
      </c>
      <c r="I81" s="1" t="str">
        <f>IFERROR(VLOOKUP(A81, 'Exercise Database'!A:J, 8, FALSE) * B81, "")</f>
        <v/>
      </c>
      <c r="J81" s="1" t="str">
        <f>IFERROR(VLOOKUP(A81, 'Exercise Database'!A:J, 9, FALSE) * B81, "")</f>
        <v/>
      </c>
      <c r="K81" s="1" t="str">
        <f>IFERROR(VLOOKUP(A81, 'Exercise Database'!A:J, 10, FALSE) * B81, "")</f>
        <v/>
      </c>
    </row>
    <row r="82" spans="3:11" x14ac:dyDescent="0.3">
      <c r="C82" s="1" t="str">
        <f>IFERROR(VLOOKUP(A82, 'Exercise Database'!A:J, 2, FALSE) * B82, "")</f>
        <v/>
      </c>
      <c r="D82" s="1" t="str">
        <f>IFERROR(VLOOKUP(A82, 'Exercise Database'!A:J, 3, FALSE) * B82, "")</f>
        <v/>
      </c>
      <c r="E82" s="1" t="str">
        <f>IFERROR(VLOOKUP(A82, 'Exercise Database'!A:J, 4, FALSE) * B82, "")</f>
        <v/>
      </c>
      <c r="F82" s="1" t="str">
        <f>IFERROR(VLOOKUP(A82, 'Exercise Database'!A:J, 5, FALSE) * B82, "")</f>
        <v/>
      </c>
      <c r="G82" s="1" t="str">
        <f>IFERROR(VLOOKUP(A82, 'Exercise Database'!A:J, 6, FALSE) * B82, "")</f>
        <v/>
      </c>
      <c r="H82" s="1" t="str">
        <f>IFERROR(VLOOKUP(A82, 'Exercise Database'!A:J, 7, FALSE) * B82, "")</f>
        <v/>
      </c>
      <c r="I82" s="1" t="str">
        <f>IFERROR(VLOOKUP(A82, 'Exercise Database'!A:J, 8, FALSE) * B82, "")</f>
        <v/>
      </c>
      <c r="J82" s="1" t="str">
        <f>IFERROR(VLOOKUP(A82, 'Exercise Database'!A:J, 9, FALSE) * B82, "")</f>
        <v/>
      </c>
      <c r="K82" s="1" t="str">
        <f>IFERROR(VLOOKUP(A82, 'Exercise Database'!A:J, 10, FALSE) * B82, "")</f>
        <v/>
      </c>
    </row>
    <row r="83" spans="3:11" x14ac:dyDescent="0.3">
      <c r="C83" s="1" t="str">
        <f>IFERROR(VLOOKUP(A83, 'Exercise Database'!A:J, 2, FALSE) * B83, "")</f>
        <v/>
      </c>
      <c r="D83" s="1" t="str">
        <f>IFERROR(VLOOKUP(A83, 'Exercise Database'!A:J, 3, FALSE) * B83, "")</f>
        <v/>
      </c>
      <c r="E83" s="1" t="str">
        <f>IFERROR(VLOOKUP(A83, 'Exercise Database'!A:J, 4, FALSE) * B83, "")</f>
        <v/>
      </c>
      <c r="F83" s="1" t="str">
        <f>IFERROR(VLOOKUP(A83, 'Exercise Database'!A:J, 5, FALSE) * B83, "")</f>
        <v/>
      </c>
      <c r="G83" s="1" t="str">
        <f>IFERROR(VLOOKUP(A83, 'Exercise Database'!A:J, 6, FALSE) * B83, "")</f>
        <v/>
      </c>
      <c r="H83" s="1" t="str">
        <f>IFERROR(VLOOKUP(A83, 'Exercise Database'!A:J, 7, FALSE) * B83, "")</f>
        <v/>
      </c>
      <c r="I83" s="1" t="str">
        <f>IFERROR(VLOOKUP(A83, 'Exercise Database'!A:J, 8, FALSE) * B83, "")</f>
        <v/>
      </c>
      <c r="J83" s="1" t="str">
        <f>IFERROR(VLOOKUP(A83, 'Exercise Database'!A:J, 9, FALSE) * B83, "")</f>
        <v/>
      </c>
      <c r="K83" s="1" t="str">
        <f>IFERROR(VLOOKUP(A83, 'Exercise Database'!A:J, 10, FALSE) * B83, "")</f>
        <v/>
      </c>
    </row>
    <row r="84" spans="3:11" x14ac:dyDescent="0.3">
      <c r="C84" s="1" t="str">
        <f>IFERROR(VLOOKUP(A84, 'Exercise Database'!A:J, 2, FALSE) * B84, "")</f>
        <v/>
      </c>
      <c r="D84" s="1" t="str">
        <f>IFERROR(VLOOKUP(A84, 'Exercise Database'!A:J, 3, FALSE) * B84, "")</f>
        <v/>
      </c>
      <c r="E84" s="1" t="str">
        <f>IFERROR(VLOOKUP(A84, 'Exercise Database'!A:J, 4, FALSE) * B84, "")</f>
        <v/>
      </c>
      <c r="F84" s="1" t="str">
        <f>IFERROR(VLOOKUP(A84, 'Exercise Database'!A:J, 5, FALSE) * B84, "")</f>
        <v/>
      </c>
      <c r="G84" s="1" t="str">
        <f>IFERROR(VLOOKUP(A84, 'Exercise Database'!A:J, 6, FALSE) * B84, "")</f>
        <v/>
      </c>
      <c r="H84" s="1" t="str">
        <f>IFERROR(VLOOKUP(A84, 'Exercise Database'!A:J, 7, FALSE) * B84, "")</f>
        <v/>
      </c>
      <c r="I84" s="1" t="str">
        <f>IFERROR(VLOOKUP(A84, 'Exercise Database'!A:J, 8, FALSE) * B84, "")</f>
        <v/>
      </c>
      <c r="J84" s="1" t="str">
        <f>IFERROR(VLOOKUP(A84, 'Exercise Database'!A:J, 9, FALSE) * B84, "")</f>
        <v/>
      </c>
      <c r="K84" s="1" t="str">
        <f>IFERROR(VLOOKUP(A84, 'Exercise Database'!A:J, 10, FALSE) * B84, "")</f>
        <v/>
      </c>
    </row>
    <row r="85" spans="3:11" x14ac:dyDescent="0.3">
      <c r="C85" s="1" t="str">
        <f>IFERROR(VLOOKUP(A85, 'Exercise Database'!A:J, 2, FALSE) * B85, "")</f>
        <v/>
      </c>
      <c r="D85" s="1" t="str">
        <f>IFERROR(VLOOKUP(A85, 'Exercise Database'!A:J, 3, FALSE) * B85, "")</f>
        <v/>
      </c>
      <c r="E85" s="1" t="str">
        <f>IFERROR(VLOOKUP(A85, 'Exercise Database'!A:J, 4, FALSE) * B85, "")</f>
        <v/>
      </c>
      <c r="F85" s="1" t="str">
        <f>IFERROR(VLOOKUP(A85, 'Exercise Database'!A:J, 5, FALSE) * B85, "")</f>
        <v/>
      </c>
      <c r="G85" s="1" t="str">
        <f>IFERROR(VLOOKUP(A85, 'Exercise Database'!A:J, 6, FALSE) * B85, "")</f>
        <v/>
      </c>
      <c r="H85" s="1" t="str">
        <f>IFERROR(VLOOKUP(A85, 'Exercise Database'!A:J, 7, FALSE) * B85, "")</f>
        <v/>
      </c>
      <c r="I85" s="1" t="str">
        <f>IFERROR(VLOOKUP(A85, 'Exercise Database'!A:J, 8, FALSE) * B85, "")</f>
        <v/>
      </c>
      <c r="J85" s="1" t="str">
        <f>IFERROR(VLOOKUP(A85, 'Exercise Database'!A:J, 9, FALSE) * B85, "")</f>
        <v/>
      </c>
      <c r="K85" s="1" t="str">
        <f>IFERROR(VLOOKUP(A85, 'Exercise Database'!A:J, 10, FALSE) * B85, "")</f>
        <v/>
      </c>
    </row>
    <row r="86" spans="3:11" x14ac:dyDescent="0.3">
      <c r="C86" s="1" t="str">
        <f>IFERROR(VLOOKUP(A86, 'Exercise Database'!A:J, 2, FALSE) * B86, "")</f>
        <v/>
      </c>
      <c r="D86" s="1" t="str">
        <f>IFERROR(VLOOKUP(A86, 'Exercise Database'!A:J, 3, FALSE) * B86, "")</f>
        <v/>
      </c>
      <c r="E86" s="1" t="str">
        <f>IFERROR(VLOOKUP(A86, 'Exercise Database'!A:J, 4, FALSE) * B86, "")</f>
        <v/>
      </c>
      <c r="F86" s="1" t="str">
        <f>IFERROR(VLOOKUP(A86, 'Exercise Database'!A:J, 5, FALSE) * B86, "")</f>
        <v/>
      </c>
      <c r="G86" s="1" t="str">
        <f>IFERROR(VLOOKUP(A86, 'Exercise Database'!A:J, 6, FALSE) * B86, "")</f>
        <v/>
      </c>
      <c r="H86" s="1" t="str">
        <f>IFERROR(VLOOKUP(A86, 'Exercise Database'!A:J, 7, FALSE) * B86, "")</f>
        <v/>
      </c>
      <c r="I86" s="1" t="str">
        <f>IFERROR(VLOOKUP(A86, 'Exercise Database'!A:J, 8, FALSE) * B86, "")</f>
        <v/>
      </c>
      <c r="J86" s="1" t="str">
        <f>IFERROR(VLOOKUP(A86, 'Exercise Database'!A:J, 9, FALSE) * B86, "")</f>
        <v/>
      </c>
      <c r="K86" s="1" t="str">
        <f>IFERROR(VLOOKUP(A86, 'Exercise Database'!A:J, 10, FALSE) * B86, "")</f>
        <v/>
      </c>
    </row>
    <row r="87" spans="3:11" x14ac:dyDescent="0.3">
      <c r="C87" s="1" t="str">
        <f>IFERROR(VLOOKUP(A87, 'Exercise Database'!A:J, 2, FALSE) * B87, "")</f>
        <v/>
      </c>
      <c r="D87" s="1" t="str">
        <f>IFERROR(VLOOKUP(A87, 'Exercise Database'!A:J, 3, FALSE) * B87, "")</f>
        <v/>
      </c>
      <c r="E87" s="1" t="str">
        <f>IFERROR(VLOOKUP(A87, 'Exercise Database'!A:J, 4, FALSE) * B87, "")</f>
        <v/>
      </c>
      <c r="F87" s="1" t="str">
        <f>IFERROR(VLOOKUP(A87, 'Exercise Database'!A:J, 5, FALSE) * B87, "")</f>
        <v/>
      </c>
      <c r="G87" s="1" t="str">
        <f>IFERROR(VLOOKUP(A87, 'Exercise Database'!A:J, 6, FALSE) * B87, "")</f>
        <v/>
      </c>
      <c r="H87" s="1" t="str">
        <f>IFERROR(VLOOKUP(A87, 'Exercise Database'!A:J, 7, FALSE) * B87, "")</f>
        <v/>
      </c>
      <c r="I87" s="1" t="str">
        <f>IFERROR(VLOOKUP(A87, 'Exercise Database'!A:J, 8, FALSE) * B87, "")</f>
        <v/>
      </c>
      <c r="J87" s="1" t="str">
        <f>IFERROR(VLOOKUP(A87, 'Exercise Database'!A:J, 9, FALSE) * B87, "")</f>
        <v/>
      </c>
      <c r="K87" s="1" t="str">
        <f>IFERROR(VLOOKUP(A87, 'Exercise Database'!A:J, 10, FALSE) * B87, "")</f>
        <v/>
      </c>
    </row>
    <row r="88" spans="3:11" x14ac:dyDescent="0.3">
      <c r="C88" s="1" t="str">
        <f>IFERROR(VLOOKUP(A88, 'Exercise Database'!A:J, 2, FALSE) * B88, "")</f>
        <v/>
      </c>
      <c r="D88" s="1" t="str">
        <f>IFERROR(VLOOKUP(A88, 'Exercise Database'!A:J, 3, FALSE) * B88, "")</f>
        <v/>
      </c>
      <c r="E88" s="1" t="str">
        <f>IFERROR(VLOOKUP(A88, 'Exercise Database'!A:J, 4, FALSE) * B88, "")</f>
        <v/>
      </c>
      <c r="F88" s="1" t="str">
        <f>IFERROR(VLOOKUP(A88, 'Exercise Database'!A:J, 5, FALSE) * B88, "")</f>
        <v/>
      </c>
      <c r="G88" s="1" t="str">
        <f>IFERROR(VLOOKUP(A88, 'Exercise Database'!A:J, 6, FALSE) * B88, "")</f>
        <v/>
      </c>
      <c r="H88" s="1" t="str">
        <f>IFERROR(VLOOKUP(A88, 'Exercise Database'!A:J, 7, FALSE) * B88, "")</f>
        <v/>
      </c>
      <c r="I88" s="1" t="str">
        <f>IFERROR(VLOOKUP(A88, 'Exercise Database'!A:J, 8, FALSE) * B88, "")</f>
        <v/>
      </c>
      <c r="J88" s="1" t="str">
        <f>IFERROR(VLOOKUP(A88, 'Exercise Database'!A:J, 9, FALSE) * B88, "")</f>
        <v/>
      </c>
      <c r="K88" s="1" t="str">
        <f>IFERROR(VLOOKUP(A88, 'Exercise Database'!A:J, 10, FALSE) * B88, "")</f>
        <v/>
      </c>
    </row>
    <row r="89" spans="3:11" x14ac:dyDescent="0.3">
      <c r="C89" s="1" t="str">
        <f>IFERROR(VLOOKUP(A89, 'Exercise Database'!A:J, 2, FALSE) * B89, "")</f>
        <v/>
      </c>
      <c r="D89" s="1" t="str">
        <f>IFERROR(VLOOKUP(A89, 'Exercise Database'!A:J, 3, FALSE) * B89, "")</f>
        <v/>
      </c>
      <c r="E89" s="1" t="str">
        <f>IFERROR(VLOOKUP(A89, 'Exercise Database'!A:J, 4, FALSE) * B89, "")</f>
        <v/>
      </c>
      <c r="F89" s="1" t="str">
        <f>IFERROR(VLOOKUP(A89, 'Exercise Database'!A:J, 5, FALSE) * B89, "")</f>
        <v/>
      </c>
      <c r="G89" s="1" t="str">
        <f>IFERROR(VLOOKUP(A89, 'Exercise Database'!A:J, 6, FALSE) * B89, "")</f>
        <v/>
      </c>
      <c r="H89" s="1" t="str">
        <f>IFERROR(VLOOKUP(A89, 'Exercise Database'!A:J, 7, FALSE) * B89, "")</f>
        <v/>
      </c>
      <c r="I89" s="1" t="str">
        <f>IFERROR(VLOOKUP(A89, 'Exercise Database'!A:J, 8, FALSE) * B89, "")</f>
        <v/>
      </c>
      <c r="J89" s="1" t="str">
        <f>IFERROR(VLOOKUP(A89, 'Exercise Database'!A:J, 9, FALSE) * B89, "")</f>
        <v/>
      </c>
      <c r="K89" s="1" t="str">
        <f>IFERROR(VLOOKUP(A89, 'Exercise Database'!A:J, 10, FALSE) * B89, "")</f>
        <v/>
      </c>
    </row>
    <row r="90" spans="3:11" x14ac:dyDescent="0.3">
      <c r="C90" s="1" t="str">
        <f>IFERROR(VLOOKUP(A90, 'Exercise Database'!A:J, 2, FALSE) * B90, "")</f>
        <v/>
      </c>
      <c r="D90" s="1" t="str">
        <f>IFERROR(VLOOKUP(A90, 'Exercise Database'!A:J, 3, FALSE) * B90, "")</f>
        <v/>
      </c>
      <c r="E90" s="1" t="str">
        <f>IFERROR(VLOOKUP(A90, 'Exercise Database'!A:J, 4, FALSE) * B90, "")</f>
        <v/>
      </c>
      <c r="F90" s="1" t="str">
        <f>IFERROR(VLOOKUP(A90, 'Exercise Database'!A:J, 5, FALSE) * B90, "")</f>
        <v/>
      </c>
      <c r="G90" s="1" t="str">
        <f>IFERROR(VLOOKUP(A90, 'Exercise Database'!A:J, 6, FALSE) * B90, "")</f>
        <v/>
      </c>
      <c r="H90" s="1" t="str">
        <f>IFERROR(VLOOKUP(A90, 'Exercise Database'!A:J, 7, FALSE) * B90, "")</f>
        <v/>
      </c>
      <c r="I90" s="1" t="str">
        <f>IFERROR(VLOOKUP(A90, 'Exercise Database'!A:J, 8, FALSE) * B90, "")</f>
        <v/>
      </c>
      <c r="J90" s="1" t="str">
        <f>IFERROR(VLOOKUP(A90, 'Exercise Database'!A:J, 9, FALSE) * B90, "")</f>
        <v/>
      </c>
      <c r="K90" s="1" t="str">
        <f>IFERROR(VLOOKUP(A90, 'Exercise Database'!A:J, 10, FALSE) * B90, "")</f>
        <v/>
      </c>
    </row>
    <row r="91" spans="3:11" x14ac:dyDescent="0.3">
      <c r="C91" s="1" t="str">
        <f>IFERROR(VLOOKUP(A91, 'Exercise Database'!A:J, 2, FALSE) * B91, "")</f>
        <v/>
      </c>
      <c r="D91" s="1" t="str">
        <f>IFERROR(VLOOKUP(A91, 'Exercise Database'!A:J, 3, FALSE) * B91, "")</f>
        <v/>
      </c>
      <c r="E91" s="1" t="str">
        <f>IFERROR(VLOOKUP(A91, 'Exercise Database'!A:J, 4, FALSE) * B91, "")</f>
        <v/>
      </c>
      <c r="F91" s="1" t="str">
        <f>IFERROR(VLOOKUP(A91, 'Exercise Database'!A:J, 5, FALSE) * B91, "")</f>
        <v/>
      </c>
      <c r="G91" s="1" t="str">
        <f>IFERROR(VLOOKUP(A91, 'Exercise Database'!A:J, 6, FALSE) * B91, "")</f>
        <v/>
      </c>
      <c r="H91" s="1" t="str">
        <f>IFERROR(VLOOKUP(A91, 'Exercise Database'!A:J, 7, FALSE) * B91, "")</f>
        <v/>
      </c>
      <c r="I91" s="1" t="str">
        <f>IFERROR(VLOOKUP(A91, 'Exercise Database'!A:J, 8, FALSE) * B91, "")</f>
        <v/>
      </c>
      <c r="J91" s="1" t="str">
        <f>IFERROR(VLOOKUP(A91, 'Exercise Database'!A:J, 9, FALSE) * B91, "")</f>
        <v/>
      </c>
      <c r="K91" s="1" t="str">
        <f>IFERROR(VLOOKUP(A91, 'Exercise Database'!A:J, 10, FALSE) * B91, "")</f>
        <v/>
      </c>
    </row>
    <row r="92" spans="3:11" x14ac:dyDescent="0.3">
      <c r="C92" s="1" t="str">
        <f>IFERROR(VLOOKUP(A92, 'Exercise Database'!A:J, 2, FALSE) * B92, "")</f>
        <v/>
      </c>
      <c r="D92" s="1" t="str">
        <f>IFERROR(VLOOKUP(A92, 'Exercise Database'!A:J, 3, FALSE) * B92, "")</f>
        <v/>
      </c>
      <c r="E92" s="1" t="str">
        <f>IFERROR(VLOOKUP(A92, 'Exercise Database'!A:J, 4, FALSE) * B92, "")</f>
        <v/>
      </c>
      <c r="F92" s="1" t="str">
        <f>IFERROR(VLOOKUP(A92, 'Exercise Database'!A:J, 5, FALSE) * B92, "")</f>
        <v/>
      </c>
      <c r="G92" s="1" t="str">
        <f>IFERROR(VLOOKUP(A92, 'Exercise Database'!A:J, 6, FALSE) * B92, "")</f>
        <v/>
      </c>
      <c r="H92" s="1" t="str">
        <f>IFERROR(VLOOKUP(A92, 'Exercise Database'!A:J, 7, FALSE) * B92, "")</f>
        <v/>
      </c>
      <c r="I92" s="1" t="str">
        <f>IFERROR(VLOOKUP(A92, 'Exercise Database'!A:J, 8, FALSE) * B92, "")</f>
        <v/>
      </c>
      <c r="J92" s="1" t="str">
        <f>IFERROR(VLOOKUP(A92, 'Exercise Database'!A:J, 9, FALSE) * B92, "")</f>
        <v/>
      </c>
      <c r="K92" s="1" t="str">
        <f>IFERROR(VLOOKUP(A92, 'Exercise Database'!A:J, 10, FALSE) * B92, "")</f>
        <v/>
      </c>
    </row>
    <row r="93" spans="3:11" x14ac:dyDescent="0.3">
      <c r="C93" s="1" t="str">
        <f>IFERROR(VLOOKUP(A93, 'Exercise Database'!A:J, 2, FALSE) * B93, "")</f>
        <v/>
      </c>
      <c r="D93" s="1" t="str">
        <f>IFERROR(VLOOKUP(A93, 'Exercise Database'!A:J, 3, FALSE) * B93, "")</f>
        <v/>
      </c>
      <c r="E93" s="1" t="str">
        <f>IFERROR(VLOOKUP(A93, 'Exercise Database'!A:J, 4, FALSE) * B93, "")</f>
        <v/>
      </c>
      <c r="F93" s="1" t="str">
        <f>IFERROR(VLOOKUP(A93, 'Exercise Database'!A:J, 5, FALSE) * B93, "")</f>
        <v/>
      </c>
      <c r="G93" s="1" t="str">
        <f>IFERROR(VLOOKUP(A93, 'Exercise Database'!A:J, 6, FALSE) * B93, "")</f>
        <v/>
      </c>
      <c r="H93" s="1" t="str">
        <f>IFERROR(VLOOKUP(A93, 'Exercise Database'!A:J, 7, FALSE) * B93, "")</f>
        <v/>
      </c>
      <c r="I93" s="1" t="str">
        <f>IFERROR(VLOOKUP(A93, 'Exercise Database'!A:J, 8, FALSE) * B93, "")</f>
        <v/>
      </c>
      <c r="J93" s="1" t="str">
        <f>IFERROR(VLOOKUP(A93, 'Exercise Database'!A:J, 9, FALSE) * B93, "")</f>
        <v/>
      </c>
      <c r="K93" s="1" t="str">
        <f>IFERROR(VLOOKUP(A93, 'Exercise Database'!A:J, 10, FALSE) * B93, "")</f>
        <v/>
      </c>
    </row>
    <row r="94" spans="3:11" x14ac:dyDescent="0.3">
      <c r="C94" s="1" t="str">
        <f>IFERROR(VLOOKUP(A94, 'Exercise Database'!A:J, 2, FALSE) * B94, "")</f>
        <v/>
      </c>
      <c r="D94" s="1" t="str">
        <f>IFERROR(VLOOKUP(A94, 'Exercise Database'!A:J, 3, FALSE) * B94, "")</f>
        <v/>
      </c>
      <c r="E94" s="1" t="str">
        <f>IFERROR(VLOOKUP(A94, 'Exercise Database'!A:J, 4, FALSE) * B94, "")</f>
        <v/>
      </c>
      <c r="F94" s="1" t="str">
        <f>IFERROR(VLOOKUP(A94, 'Exercise Database'!A:J, 5, FALSE) * B94, "")</f>
        <v/>
      </c>
      <c r="G94" s="1" t="str">
        <f>IFERROR(VLOOKUP(A94, 'Exercise Database'!A:J, 6, FALSE) * B94, "")</f>
        <v/>
      </c>
      <c r="H94" s="1" t="str">
        <f>IFERROR(VLOOKUP(A94, 'Exercise Database'!A:J, 7, FALSE) * B94, "")</f>
        <v/>
      </c>
      <c r="I94" s="1" t="str">
        <f>IFERROR(VLOOKUP(A94, 'Exercise Database'!A:J, 8, FALSE) * B94, "")</f>
        <v/>
      </c>
      <c r="J94" s="1" t="str">
        <f>IFERROR(VLOOKUP(A94, 'Exercise Database'!A:J, 9, FALSE) * B94, "")</f>
        <v/>
      </c>
      <c r="K94" s="1" t="str">
        <f>IFERROR(VLOOKUP(A94, 'Exercise Database'!A:J, 10, FALSE) * B94, "")</f>
        <v/>
      </c>
    </row>
    <row r="95" spans="3:11" x14ac:dyDescent="0.3">
      <c r="C95" s="1" t="str">
        <f>IFERROR(VLOOKUP(A95, 'Exercise Database'!A:J, 2, FALSE) * B95, "")</f>
        <v/>
      </c>
      <c r="D95" s="1" t="str">
        <f>IFERROR(VLOOKUP(A95, 'Exercise Database'!A:J, 3, FALSE) * B95, "")</f>
        <v/>
      </c>
      <c r="E95" s="1" t="str">
        <f>IFERROR(VLOOKUP(A95, 'Exercise Database'!A:J, 4, FALSE) * B95, "")</f>
        <v/>
      </c>
      <c r="F95" s="1" t="str">
        <f>IFERROR(VLOOKUP(A95, 'Exercise Database'!A:J, 5, FALSE) * B95, "")</f>
        <v/>
      </c>
      <c r="G95" s="1" t="str">
        <f>IFERROR(VLOOKUP(A95, 'Exercise Database'!A:J, 6, FALSE) * B95, "")</f>
        <v/>
      </c>
      <c r="H95" s="1" t="str">
        <f>IFERROR(VLOOKUP(A95, 'Exercise Database'!A:J, 7, FALSE) * B95, "")</f>
        <v/>
      </c>
      <c r="I95" s="1" t="str">
        <f>IFERROR(VLOOKUP(A95, 'Exercise Database'!A:J, 8, FALSE) * B95, "")</f>
        <v/>
      </c>
      <c r="J95" s="1" t="str">
        <f>IFERROR(VLOOKUP(A95, 'Exercise Database'!A:J, 9, FALSE) * B95, "")</f>
        <v/>
      </c>
      <c r="K95" s="1" t="str">
        <f>IFERROR(VLOOKUP(A95, 'Exercise Database'!A:J, 10, FALSE) * B95, "")</f>
        <v/>
      </c>
    </row>
    <row r="96" spans="3:11" x14ac:dyDescent="0.3">
      <c r="C96" s="1" t="str">
        <f>IFERROR(VLOOKUP(A96, 'Exercise Database'!A:J, 2, FALSE) * B96, "")</f>
        <v/>
      </c>
      <c r="D96" s="1" t="str">
        <f>IFERROR(VLOOKUP(A96, 'Exercise Database'!A:J, 3, FALSE) * B96, "")</f>
        <v/>
      </c>
      <c r="E96" s="1" t="str">
        <f>IFERROR(VLOOKUP(A96, 'Exercise Database'!A:J, 4, FALSE) * B96, "")</f>
        <v/>
      </c>
      <c r="F96" s="1" t="str">
        <f>IFERROR(VLOOKUP(A96, 'Exercise Database'!A:J, 5, FALSE) * B96, "")</f>
        <v/>
      </c>
      <c r="G96" s="1" t="str">
        <f>IFERROR(VLOOKUP(A96, 'Exercise Database'!A:J, 6, FALSE) * B96, "")</f>
        <v/>
      </c>
      <c r="H96" s="1" t="str">
        <f>IFERROR(VLOOKUP(A96, 'Exercise Database'!A:J, 7, FALSE) * B96, "")</f>
        <v/>
      </c>
      <c r="I96" s="1" t="str">
        <f>IFERROR(VLOOKUP(A96, 'Exercise Database'!A:J, 8, FALSE) * B96, "")</f>
        <v/>
      </c>
      <c r="J96" s="1" t="str">
        <f>IFERROR(VLOOKUP(A96, 'Exercise Database'!A:J, 9, FALSE) * B96, "")</f>
        <v/>
      </c>
      <c r="K96" s="1" t="str">
        <f>IFERROR(VLOOKUP(A96, 'Exercise Database'!A:J, 10, FALSE) * B96, "")</f>
        <v/>
      </c>
    </row>
    <row r="97" spans="3:11" x14ac:dyDescent="0.3">
      <c r="C97" s="1" t="str">
        <f>IFERROR(VLOOKUP(A97, 'Exercise Database'!A:J, 2, FALSE) * B97, "")</f>
        <v/>
      </c>
      <c r="D97" s="1" t="str">
        <f>IFERROR(VLOOKUP(A97, 'Exercise Database'!A:J, 3, FALSE) * B97, "")</f>
        <v/>
      </c>
      <c r="E97" s="1" t="str">
        <f>IFERROR(VLOOKUP(A97, 'Exercise Database'!A:J, 4, FALSE) * B97, "")</f>
        <v/>
      </c>
      <c r="F97" s="1" t="str">
        <f>IFERROR(VLOOKUP(A97, 'Exercise Database'!A:J, 5, FALSE) * B97, "")</f>
        <v/>
      </c>
      <c r="G97" s="1" t="str">
        <f>IFERROR(VLOOKUP(A97, 'Exercise Database'!A:J, 6, FALSE) * B97, "")</f>
        <v/>
      </c>
      <c r="H97" s="1" t="str">
        <f>IFERROR(VLOOKUP(A97, 'Exercise Database'!A:J, 7, FALSE) * B97, "")</f>
        <v/>
      </c>
      <c r="I97" s="1" t="str">
        <f>IFERROR(VLOOKUP(A97, 'Exercise Database'!A:J, 8, FALSE) * B97, "")</f>
        <v/>
      </c>
      <c r="J97" s="1" t="str">
        <f>IFERROR(VLOOKUP(A97, 'Exercise Database'!A:J, 9, FALSE) * B97, "")</f>
        <v/>
      </c>
      <c r="K97" s="1" t="str">
        <f>IFERROR(VLOOKUP(A97, 'Exercise Database'!A:J, 10, FALSE) * B97, "")</f>
        <v/>
      </c>
    </row>
    <row r="98" spans="3:11" x14ac:dyDescent="0.3">
      <c r="C98" s="1" t="str">
        <f>IFERROR(VLOOKUP(A98, 'Exercise Database'!A:J, 2, FALSE) * B98, "")</f>
        <v/>
      </c>
      <c r="D98" s="1" t="str">
        <f>IFERROR(VLOOKUP(A98, 'Exercise Database'!A:J, 3, FALSE) * B98, "")</f>
        <v/>
      </c>
      <c r="E98" s="1" t="str">
        <f>IFERROR(VLOOKUP(A98, 'Exercise Database'!A:J, 4, FALSE) * B98, "")</f>
        <v/>
      </c>
      <c r="F98" s="1" t="str">
        <f>IFERROR(VLOOKUP(A98, 'Exercise Database'!A:J, 5, FALSE) * B98, "")</f>
        <v/>
      </c>
      <c r="G98" s="1" t="str">
        <f>IFERROR(VLOOKUP(A98, 'Exercise Database'!A:J, 6, FALSE) * B98, "")</f>
        <v/>
      </c>
      <c r="H98" s="1" t="str">
        <f>IFERROR(VLOOKUP(A98, 'Exercise Database'!A:J, 7, FALSE) * B98, "")</f>
        <v/>
      </c>
      <c r="I98" s="1" t="str">
        <f>IFERROR(VLOOKUP(A98, 'Exercise Database'!A:J, 8, FALSE) * B98, "")</f>
        <v/>
      </c>
      <c r="J98" s="1" t="str">
        <f>IFERROR(VLOOKUP(A98, 'Exercise Database'!A:J, 9, FALSE) * B98, "")</f>
        <v/>
      </c>
      <c r="K98" s="1" t="str">
        <f>IFERROR(VLOOKUP(A98, 'Exercise Database'!A:J, 10, FALSE) * B98, "")</f>
        <v/>
      </c>
    </row>
    <row r="99" spans="3:11" x14ac:dyDescent="0.3">
      <c r="C99" s="1" t="str">
        <f>IFERROR(VLOOKUP(A99, 'Exercise Database'!A:J, 2, FALSE) * B99, "")</f>
        <v/>
      </c>
      <c r="D99" s="1" t="str">
        <f>IFERROR(VLOOKUP(A99, 'Exercise Database'!A:J, 3, FALSE) * B99, "")</f>
        <v/>
      </c>
      <c r="E99" s="1" t="str">
        <f>IFERROR(VLOOKUP(A99, 'Exercise Database'!A:J, 4, FALSE) * B99, "")</f>
        <v/>
      </c>
      <c r="F99" s="1" t="str">
        <f>IFERROR(VLOOKUP(A99, 'Exercise Database'!A:J, 5, FALSE) * B99, "")</f>
        <v/>
      </c>
      <c r="G99" s="1" t="str">
        <f>IFERROR(VLOOKUP(A99, 'Exercise Database'!A:J, 6, FALSE) * B99, "")</f>
        <v/>
      </c>
      <c r="H99" s="1" t="str">
        <f>IFERROR(VLOOKUP(A99, 'Exercise Database'!A:J, 7, FALSE) * B99, "")</f>
        <v/>
      </c>
      <c r="I99" s="1" t="str">
        <f>IFERROR(VLOOKUP(A99, 'Exercise Database'!A:J, 8, FALSE) * B99, "")</f>
        <v/>
      </c>
      <c r="J99" s="1" t="str">
        <f>IFERROR(VLOOKUP(A99, 'Exercise Database'!A:J, 9, FALSE) * B99, "")</f>
        <v/>
      </c>
      <c r="K99" s="1" t="str">
        <f>IFERROR(VLOOKUP(A99, 'Exercise Database'!A:J, 10, FALSE) * B99, "")</f>
        <v/>
      </c>
    </row>
    <row r="100" spans="3:11" x14ac:dyDescent="0.3">
      <c r="C100" s="1" t="str">
        <f>IFERROR(VLOOKUP(A100, 'Exercise Database'!A:J, 2, FALSE) * B100, "")</f>
        <v/>
      </c>
      <c r="D100" s="1" t="str">
        <f>IFERROR(VLOOKUP(A100, 'Exercise Database'!A:J, 3, FALSE) * B100, "")</f>
        <v/>
      </c>
      <c r="E100" s="1" t="str">
        <f>IFERROR(VLOOKUP(A100, 'Exercise Database'!A:J, 4, FALSE) * B100, "")</f>
        <v/>
      </c>
      <c r="F100" s="1" t="str">
        <f>IFERROR(VLOOKUP(A100, 'Exercise Database'!A:J, 5, FALSE) * B100, "")</f>
        <v/>
      </c>
      <c r="G100" s="1" t="str">
        <f>IFERROR(VLOOKUP(A100, 'Exercise Database'!A:J, 6, FALSE) * B100, "")</f>
        <v/>
      </c>
      <c r="H100" s="1" t="str">
        <f>IFERROR(VLOOKUP(A100, 'Exercise Database'!A:J, 7, FALSE) * B100, "")</f>
        <v/>
      </c>
      <c r="I100" s="1" t="str">
        <f>IFERROR(VLOOKUP(A100, 'Exercise Database'!A:J, 8, FALSE) * B100, "")</f>
        <v/>
      </c>
      <c r="J100" s="1" t="str">
        <f>IFERROR(VLOOKUP(A100, 'Exercise Database'!A:J, 9, FALSE) * B100, "")</f>
        <v/>
      </c>
      <c r="K100" s="1" t="str">
        <f>IFERROR(VLOOKUP(A100, 'Exercise Database'!A:J, 10, FALSE) * B100, "")</f>
        <v/>
      </c>
    </row>
  </sheetData>
  <conditionalFormatting sqref="N2:V2">
    <cfRule type="cellIs" dxfId="3" priority="1" operator="notBetween">
      <formula>10</formula>
      <formula>20</formula>
    </cfRule>
    <cfRule type="cellIs" dxfId="2" priority="2" operator="between">
      <formula>10</formula>
      <formula>20</formula>
    </cfRule>
  </conditionalFormatting>
  <dataValidations disablePrompts="1" count="1">
    <dataValidation type="list" allowBlank="1" showInputMessage="1" showErrorMessage="1" sqref="A2:A100" xr:uid="{2C3593B0-B0C4-4CC2-BAC2-3E094C1458E7}">
      <formula1>ExerciseList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FC08-3141-4B23-8F72-8587DBF7E534}">
  <dimension ref="A1:V100"/>
  <sheetViews>
    <sheetView workbookViewId="0">
      <selection activeCell="B22" sqref="B22"/>
    </sheetView>
  </sheetViews>
  <sheetFormatPr defaultColWidth="9.109375" defaultRowHeight="14.4" x14ac:dyDescent="0.3"/>
  <cols>
    <col min="1" max="1" width="29.109375" style="1" bestFit="1" customWidth="1"/>
    <col min="2" max="8" width="9.109375" style="1"/>
    <col min="9" max="9" width="6.88671875" style="1" bestFit="1" customWidth="1"/>
    <col min="10" max="10" width="11.44140625" style="1" bestFit="1" customWidth="1"/>
    <col min="11" max="11" width="9.109375" style="1"/>
    <col min="12" max="12" width="9.109375" style="3"/>
    <col min="13" max="13" width="19.88671875" style="3" bestFit="1" customWidth="1"/>
    <col min="14" max="20" width="9.109375" style="3"/>
    <col min="21" max="21" width="11.44140625" style="3" bestFit="1" customWidth="1"/>
    <col min="22" max="16384" width="9.109375" style="3"/>
  </cols>
  <sheetData>
    <row r="1" spans="1:22" ht="15" thickBot="1" x14ac:dyDescent="0.35">
      <c r="A1" s="2" t="s">
        <v>0</v>
      </c>
      <c r="B1" s="2" t="s">
        <v>35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5" t="s">
        <v>36</v>
      </c>
      <c r="N1" s="4" t="s">
        <v>1</v>
      </c>
      <c r="O1" s="2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7</v>
      </c>
      <c r="U1" s="2" t="s">
        <v>8</v>
      </c>
      <c r="V1" s="2" t="s">
        <v>9</v>
      </c>
    </row>
    <row r="2" spans="1:22" ht="15" thickBot="1" x14ac:dyDescent="0.35">
      <c r="A2" s="1" t="s">
        <v>10</v>
      </c>
      <c r="B2" s="1">
        <v>4</v>
      </c>
      <c r="C2" s="1">
        <f>IFERROR(VLOOKUP(A2, 'Exercise Database'!A:J, 2, FALSE) * B2, "")</f>
        <v>4</v>
      </c>
      <c r="D2" s="1">
        <f>IFERROR(VLOOKUP(A2, 'Exercise Database'!A:J, 3, FALSE) * B2, "")</f>
        <v>2</v>
      </c>
      <c r="E2" s="1">
        <f>IFERROR(VLOOKUP(A2, 'Exercise Database'!A:J, 4, FALSE) * B2, "")</f>
        <v>0</v>
      </c>
      <c r="F2" s="1">
        <f>IFERROR(VLOOKUP(A2, 'Exercise Database'!A:J, 5, FALSE) * B2, "")</f>
        <v>2</v>
      </c>
      <c r="G2" s="1">
        <f>IFERROR(VLOOKUP(A2, 'Exercise Database'!A:J, 6, FALSE) * B2, "")</f>
        <v>0</v>
      </c>
      <c r="H2" s="1">
        <f>IFERROR(VLOOKUP(A2, 'Exercise Database'!A:J, 7, FALSE) * B2, "")</f>
        <v>0</v>
      </c>
      <c r="I2" s="1">
        <f>IFERROR(VLOOKUP(A2, 'Exercise Database'!A:J, 8, FALSE) * B2, "")</f>
        <v>0</v>
      </c>
      <c r="J2" s="1">
        <f>IFERROR(VLOOKUP(A2, 'Exercise Database'!A:J, 9, FALSE) * B2, "")</f>
        <v>0</v>
      </c>
      <c r="K2" s="1">
        <f>IFERROR(VLOOKUP(A2, 'Exercise Database'!A:J, 10, FALSE) * B2, "")</f>
        <v>0</v>
      </c>
      <c r="M2" s="6" t="s">
        <v>37</v>
      </c>
      <c r="N2" s="5">
        <f>SUM(C2:C100)</f>
        <v>10.75</v>
      </c>
      <c r="O2" s="5">
        <f>SUM(D2:D100)</f>
        <v>15.75</v>
      </c>
      <c r="P2" s="5">
        <f>SUM(E2:E100)</f>
        <v>12.25</v>
      </c>
      <c r="Q2" s="5">
        <f t="shared" ref="Q2:V2" si="0">SUM(F2:F100)</f>
        <v>11</v>
      </c>
      <c r="R2" s="5">
        <f t="shared" si="0"/>
        <v>10.75</v>
      </c>
      <c r="S2" s="5">
        <f t="shared" si="0"/>
        <v>10</v>
      </c>
      <c r="T2" s="5">
        <f t="shared" si="0"/>
        <v>9</v>
      </c>
      <c r="U2" s="5">
        <f t="shared" si="0"/>
        <v>9</v>
      </c>
      <c r="V2" s="7">
        <f t="shared" si="0"/>
        <v>4.5</v>
      </c>
    </row>
    <row r="3" spans="1:22" x14ac:dyDescent="0.3">
      <c r="A3" s="1" t="s">
        <v>11</v>
      </c>
      <c r="B3" s="1">
        <v>3</v>
      </c>
      <c r="C3" s="1">
        <f>IFERROR(VLOOKUP(A3, 'Exercise Database'!A:J, 2, FALSE) * B3, "")</f>
        <v>0.75</v>
      </c>
      <c r="D3" s="1">
        <f>IFERROR(VLOOKUP(A3, 'Exercise Database'!A:J, 3, FALSE) * B3, "")</f>
        <v>3</v>
      </c>
      <c r="E3" s="1">
        <f>IFERROR(VLOOKUP(A3, 'Exercise Database'!A:J, 4, FALSE) * B3, "")</f>
        <v>0</v>
      </c>
      <c r="F3" s="1">
        <f>IFERROR(VLOOKUP(A3, 'Exercise Database'!A:J, 5, FALSE) * B3, "")</f>
        <v>1.5</v>
      </c>
      <c r="G3" s="1">
        <f>IFERROR(VLOOKUP(A3, 'Exercise Database'!A:J, 6, FALSE) * B3, "")</f>
        <v>0</v>
      </c>
      <c r="H3" s="1">
        <f>IFERROR(VLOOKUP(A3, 'Exercise Database'!A:J, 7, FALSE) * B3, "")</f>
        <v>0</v>
      </c>
      <c r="I3" s="1">
        <f>IFERROR(VLOOKUP(A3, 'Exercise Database'!A:J, 8, FALSE) * B3, "")</f>
        <v>0</v>
      </c>
      <c r="J3" s="1">
        <f>IFERROR(VLOOKUP(A3, 'Exercise Database'!A:J, 9, FALSE) * B3, "")</f>
        <v>0</v>
      </c>
      <c r="K3" s="1">
        <f>IFERROR(VLOOKUP(A3, 'Exercise Database'!A:J, 10, FALSE) * B3, "")</f>
        <v>0</v>
      </c>
    </row>
    <row r="4" spans="1:22" x14ac:dyDescent="0.3">
      <c r="A4" s="1" t="s">
        <v>12</v>
      </c>
      <c r="B4" s="1">
        <v>3</v>
      </c>
      <c r="C4" s="1">
        <f>IFERROR(VLOOKUP(A4, 'Exercise Database'!A:J, 2, FALSE) * B4, "")</f>
        <v>3</v>
      </c>
      <c r="D4" s="1">
        <f>IFERROR(VLOOKUP(A4, 'Exercise Database'!A:J, 3, FALSE) * B4, "")</f>
        <v>1.5</v>
      </c>
      <c r="E4" s="1">
        <f>IFERROR(VLOOKUP(A4, 'Exercise Database'!A:J, 4, FALSE) * B4, "")</f>
        <v>0</v>
      </c>
      <c r="F4" s="1">
        <f>IFERROR(VLOOKUP(A4, 'Exercise Database'!A:J, 5, FALSE) * B4, "")</f>
        <v>1.5</v>
      </c>
      <c r="G4" s="1">
        <f>IFERROR(VLOOKUP(A4, 'Exercise Database'!A:J, 6, FALSE) * B4, "")</f>
        <v>0</v>
      </c>
      <c r="H4" s="1">
        <f>IFERROR(VLOOKUP(A4, 'Exercise Database'!A:J, 7, FALSE) * B4, "")</f>
        <v>0</v>
      </c>
      <c r="I4" s="1">
        <f>IFERROR(VLOOKUP(A4, 'Exercise Database'!A:J, 8, FALSE) * B4, "")</f>
        <v>0</v>
      </c>
      <c r="J4" s="1">
        <f>IFERROR(VLOOKUP(A4, 'Exercise Database'!A:J, 9, FALSE) * B4, "")</f>
        <v>0</v>
      </c>
      <c r="K4" s="1">
        <f>IFERROR(VLOOKUP(A4, 'Exercise Database'!A:J, 10, FALSE) * B4, "")</f>
        <v>0</v>
      </c>
    </row>
    <row r="5" spans="1:22" x14ac:dyDescent="0.3">
      <c r="A5" s="1" t="s">
        <v>14</v>
      </c>
      <c r="B5" s="1">
        <v>3</v>
      </c>
      <c r="C5" s="1">
        <f>IFERROR(VLOOKUP(A5, 'Exercise Database'!A:J, 2, FALSE) * B5, "")</f>
        <v>3</v>
      </c>
      <c r="D5" s="1">
        <f>IFERROR(VLOOKUP(A5, 'Exercise Database'!A:J, 3, FALSE) * B5, "")</f>
        <v>0.75</v>
      </c>
      <c r="E5" s="1">
        <f>IFERROR(VLOOKUP(A5, 'Exercise Database'!A:J, 4, FALSE) * B5, "")</f>
        <v>0</v>
      </c>
      <c r="F5" s="1">
        <f>IFERROR(VLOOKUP(A5, 'Exercise Database'!A:J, 5, FALSE) * B5, "")</f>
        <v>0</v>
      </c>
      <c r="G5" s="1">
        <f>IFERROR(VLOOKUP(A5, 'Exercise Database'!A:J, 6, FALSE) * B5, "")</f>
        <v>0</v>
      </c>
      <c r="H5" s="1">
        <f>IFERROR(VLOOKUP(A5, 'Exercise Database'!A:J, 7, FALSE) * B5, "")</f>
        <v>0</v>
      </c>
      <c r="I5" s="1">
        <f>IFERROR(VLOOKUP(A5, 'Exercise Database'!A:J, 8, FALSE) * B5, "")</f>
        <v>0</v>
      </c>
      <c r="J5" s="1">
        <f>IFERROR(VLOOKUP(A5, 'Exercise Database'!A:J, 9, FALSE) * B5, "")</f>
        <v>0</v>
      </c>
      <c r="K5" s="1">
        <f>IFERROR(VLOOKUP(A5, 'Exercise Database'!A:J, 10, FALSE) * B5, "")</f>
        <v>0</v>
      </c>
    </row>
    <row r="6" spans="1:22" x14ac:dyDescent="0.3">
      <c r="A6" s="1" t="s">
        <v>17</v>
      </c>
      <c r="B6" s="1">
        <v>3</v>
      </c>
      <c r="C6" s="1">
        <f>IFERROR(VLOOKUP(A6, 'Exercise Database'!A:J, 2, FALSE) * B6, "")</f>
        <v>0</v>
      </c>
      <c r="D6" s="1">
        <f>IFERROR(VLOOKUP(A6, 'Exercise Database'!A:J, 3, FALSE) * B6, "")</f>
        <v>0</v>
      </c>
      <c r="E6" s="1">
        <f>IFERROR(VLOOKUP(A6, 'Exercise Database'!A:J, 4, FALSE) * B6, "")</f>
        <v>0</v>
      </c>
      <c r="F6" s="1">
        <f>IFERROR(VLOOKUP(A6, 'Exercise Database'!A:J, 5, FALSE) * B6, "")</f>
        <v>3</v>
      </c>
      <c r="G6" s="1">
        <f>IFERROR(VLOOKUP(A6, 'Exercise Database'!A:J, 6, FALSE) * B6, "")</f>
        <v>0</v>
      </c>
      <c r="H6" s="1">
        <f>IFERROR(VLOOKUP(A6, 'Exercise Database'!A:J, 7, FALSE) * B6, "")</f>
        <v>0</v>
      </c>
      <c r="I6" s="1">
        <f>IFERROR(VLOOKUP(A6, 'Exercise Database'!A:J, 8, FALSE) * B6, "")</f>
        <v>0</v>
      </c>
      <c r="J6" s="1">
        <f>IFERROR(VLOOKUP(A6, 'Exercise Database'!A:J, 9, FALSE) * B6, "")</f>
        <v>0</v>
      </c>
      <c r="K6" s="1">
        <f>IFERROR(VLOOKUP(A6, 'Exercise Database'!A:J, 10, FALSE) * B6, "")</f>
        <v>0</v>
      </c>
    </row>
    <row r="7" spans="1:22" x14ac:dyDescent="0.3">
      <c r="A7" s="1" t="s">
        <v>18</v>
      </c>
      <c r="B7" s="1">
        <v>3</v>
      </c>
      <c r="C7" s="1">
        <f>IFERROR(VLOOKUP(A7, 'Exercise Database'!A:J, 2, FALSE) * B7, "")</f>
        <v>0</v>
      </c>
      <c r="D7" s="1">
        <f>IFERROR(VLOOKUP(A7, 'Exercise Database'!A:J, 3, FALSE) * B7, "")</f>
        <v>0</v>
      </c>
      <c r="E7" s="1">
        <f>IFERROR(VLOOKUP(A7, 'Exercise Database'!A:J, 4, FALSE) * B7, "")</f>
        <v>0</v>
      </c>
      <c r="F7" s="1">
        <f>IFERROR(VLOOKUP(A7, 'Exercise Database'!A:J, 5, FALSE) * B7, "")</f>
        <v>3</v>
      </c>
      <c r="G7" s="1">
        <f>IFERROR(VLOOKUP(A7, 'Exercise Database'!A:J, 6, FALSE) * B7, "")</f>
        <v>0</v>
      </c>
      <c r="H7" s="1">
        <f>IFERROR(VLOOKUP(A7, 'Exercise Database'!A:J, 7, FALSE) * B7, "")</f>
        <v>0</v>
      </c>
      <c r="I7" s="1">
        <f>IFERROR(VLOOKUP(A7, 'Exercise Database'!A:J, 8, FALSE) * B7, "")</f>
        <v>0</v>
      </c>
      <c r="J7" s="1">
        <f>IFERROR(VLOOKUP(A7, 'Exercise Database'!A:J, 9, FALSE) * B7, "")</f>
        <v>0</v>
      </c>
      <c r="K7" s="1">
        <f>IFERROR(VLOOKUP(A7, 'Exercise Database'!A:J, 10, FALSE) * B7, "")</f>
        <v>0</v>
      </c>
    </row>
    <row r="8" spans="1:22" x14ac:dyDescent="0.3">
      <c r="A8" s="1" t="s">
        <v>19</v>
      </c>
      <c r="B8" s="1">
        <v>4</v>
      </c>
      <c r="C8" s="1">
        <f>IFERROR(VLOOKUP(A8, 'Exercise Database'!A:J, 2, FALSE) * B8, "")</f>
        <v>0</v>
      </c>
      <c r="D8" s="1">
        <f>IFERROR(VLOOKUP(A8, 'Exercise Database'!A:J, 3, FALSE) * B8, "")</f>
        <v>1</v>
      </c>
      <c r="E8" s="1">
        <f>IFERROR(VLOOKUP(A8, 'Exercise Database'!A:J, 4, FALSE) * B8, "")</f>
        <v>4</v>
      </c>
      <c r="F8" s="1">
        <f>IFERROR(VLOOKUP(A8, 'Exercise Database'!A:J, 5, FALSE) * B8, "")</f>
        <v>0</v>
      </c>
      <c r="G8" s="1">
        <f>IFERROR(VLOOKUP(A8, 'Exercise Database'!A:J, 6, FALSE) * B8, "")</f>
        <v>1</v>
      </c>
      <c r="H8" s="1">
        <f>IFERROR(VLOOKUP(A8, 'Exercise Database'!A:J, 7, FALSE) * B8, "")</f>
        <v>0</v>
      </c>
      <c r="I8" s="1">
        <f>IFERROR(VLOOKUP(A8, 'Exercise Database'!A:J, 8, FALSE) * B8, "")</f>
        <v>0</v>
      </c>
      <c r="J8" s="1">
        <f>IFERROR(VLOOKUP(A8, 'Exercise Database'!A:J, 9, FALSE) * B8, "")</f>
        <v>0</v>
      </c>
      <c r="K8" s="1">
        <f>IFERROR(VLOOKUP(A8, 'Exercise Database'!A:J, 10, FALSE) * B8, "")</f>
        <v>0</v>
      </c>
    </row>
    <row r="9" spans="1:22" x14ac:dyDescent="0.3">
      <c r="A9" s="1" t="s">
        <v>21</v>
      </c>
      <c r="B9" s="1">
        <v>3</v>
      </c>
      <c r="C9" s="1">
        <f>IFERROR(VLOOKUP(A9, 'Exercise Database'!A:J, 2, FALSE) * B9, "")</f>
        <v>0</v>
      </c>
      <c r="D9" s="1">
        <f>IFERROR(VLOOKUP(A9, 'Exercise Database'!A:J, 3, FALSE) * B9, "")</f>
        <v>0.75</v>
      </c>
      <c r="E9" s="1">
        <f>IFERROR(VLOOKUP(A9, 'Exercise Database'!A:J, 4, FALSE) * B9, "")</f>
        <v>3</v>
      </c>
      <c r="F9" s="1">
        <f>IFERROR(VLOOKUP(A9, 'Exercise Database'!A:J, 5, FALSE) * B9, "")</f>
        <v>0</v>
      </c>
      <c r="G9" s="1">
        <f>IFERROR(VLOOKUP(A9, 'Exercise Database'!A:J, 6, FALSE) * B9, "")</f>
        <v>1.5</v>
      </c>
      <c r="H9" s="1">
        <f>IFERROR(VLOOKUP(A9, 'Exercise Database'!A:J, 7, FALSE) * B9, "")</f>
        <v>0</v>
      </c>
      <c r="I9" s="1">
        <f>IFERROR(VLOOKUP(A9, 'Exercise Database'!A:J, 8, FALSE) * B9, "")</f>
        <v>0</v>
      </c>
      <c r="J9" s="1">
        <f>IFERROR(VLOOKUP(A9, 'Exercise Database'!A:J, 9, FALSE) * B9, "")</f>
        <v>0</v>
      </c>
      <c r="K9" s="1">
        <f>IFERROR(VLOOKUP(A9, 'Exercise Database'!A:J, 10, FALSE) * B9, "")</f>
        <v>0</v>
      </c>
    </row>
    <row r="10" spans="1:22" x14ac:dyDescent="0.3">
      <c r="A10" s="1" t="s">
        <v>16</v>
      </c>
      <c r="B10" s="1">
        <v>3</v>
      </c>
      <c r="C10" s="1">
        <f>IFERROR(VLOOKUP(A10, 'Exercise Database'!A:J, 2, FALSE) * B10, "")</f>
        <v>0</v>
      </c>
      <c r="D10" s="1">
        <f>IFERROR(VLOOKUP(A10, 'Exercise Database'!A:J, 3, FALSE) * B10, "")</f>
        <v>3</v>
      </c>
      <c r="E10" s="1">
        <f>IFERROR(VLOOKUP(A10, 'Exercise Database'!A:J, 4, FALSE) * B10, "")</f>
        <v>0</v>
      </c>
      <c r="F10" s="1">
        <f>IFERROR(VLOOKUP(A10, 'Exercise Database'!A:J, 5, FALSE) * B10, "")</f>
        <v>0</v>
      </c>
      <c r="G10" s="1">
        <f>IFERROR(VLOOKUP(A10, 'Exercise Database'!A:J, 6, FALSE) * B10, "")</f>
        <v>0</v>
      </c>
      <c r="H10" s="1">
        <f>IFERROR(VLOOKUP(A10, 'Exercise Database'!A:J, 7, FALSE) * B10, "")</f>
        <v>0</v>
      </c>
      <c r="I10" s="1">
        <f>IFERROR(VLOOKUP(A10, 'Exercise Database'!A:J, 8, FALSE) * B10, "")</f>
        <v>0</v>
      </c>
      <c r="J10" s="1">
        <f>IFERROR(VLOOKUP(A10, 'Exercise Database'!A:J, 9, FALSE) * B10, "")</f>
        <v>0</v>
      </c>
      <c r="K10" s="1">
        <f>IFERROR(VLOOKUP(A10, 'Exercise Database'!A:J, 10, FALSE) * B10, "")</f>
        <v>0</v>
      </c>
    </row>
    <row r="11" spans="1:22" x14ac:dyDescent="0.3">
      <c r="A11" s="1" t="s">
        <v>23</v>
      </c>
      <c r="B11" s="1">
        <v>3</v>
      </c>
      <c r="C11" s="1">
        <f>IFERROR(VLOOKUP(A11, 'Exercise Database'!A:J, 2, FALSE) * B11, "")</f>
        <v>0</v>
      </c>
      <c r="D11" s="1">
        <f>IFERROR(VLOOKUP(A11, 'Exercise Database'!A:J, 3, FALSE) * B11, "")</f>
        <v>0</v>
      </c>
      <c r="E11" s="1">
        <f>IFERROR(VLOOKUP(A11, 'Exercise Database'!A:J, 4, FALSE) * B11, "")</f>
        <v>0</v>
      </c>
      <c r="F11" s="1">
        <f>IFERROR(VLOOKUP(A11, 'Exercise Database'!A:J, 5, FALSE) * B11, "")</f>
        <v>0</v>
      </c>
      <c r="G11" s="1">
        <f>IFERROR(VLOOKUP(A11, 'Exercise Database'!A:J, 6, FALSE) * B11, "")</f>
        <v>3</v>
      </c>
      <c r="H11" s="1">
        <f>IFERROR(VLOOKUP(A11, 'Exercise Database'!A:J, 7, FALSE) * B11, "")</f>
        <v>0</v>
      </c>
      <c r="I11" s="1">
        <f>IFERROR(VLOOKUP(A11, 'Exercise Database'!A:J, 8, FALSE) * B11, "")</f>
        <v>0</v>
      </c>
      <c r="J11" s="1">
        <f>IFERROR(VLOOKUP(A11, 'Exercise Database'!A:J, 9, FALSE) * B11, "")</f>
        <v>0</v>
      </c>
      <c r="K11" s="1">
        <f>IFERROR(VLOOKUP(A11, 'Exercise Database'!A:J, 10, FALSE) * B11, "")</f>
        <v>0</v>
      </c>
    </row>
    <row r="12" spans="1:22" x14ac:dyDescent="0.3">
      <c r="A12" s="1" t="s">
        <v>24</v>
      </c>
      <c r="B12" s="1">
        <v>3</v>
      </c>
      <c r="C12" s="1">
        <f>IFERROR(VLOOKUP(A12, 'Exercise Database'!A:J, 2, FALSE) * B12, "")</f>
        <v>0</v>
      </c>
      <c r="D12" s="1">
        <f>IFERROR(VLOOKUP(A12, 'Exercise Database'!A:J, 3, FALSE) * B12, "")</f>
        <v>0</v>
      </c>
      <c r="E12" s="1">
        <f>IFERROR(VLOOKUP(A12, 'Exercise Database'!A:J, 4, FALSE) * B12, "")</f>
        <v>0</v>
      </c>
      <c r="F12" s="1">
        <f>IFERROR(VLOOKUP(A12, 'Exercise Database'!A:J, 5, FALSE) * B12, "")</f>
        <v>0</v>
      </c>
      <c r="G12" s="1">
        <f>IFERROR(VLOOKUP(A12, 'Exercise Database'!A:J, 6, FALSE) * B12, "")</f>
        <v>3</v>
      </c>
      <c r="H12" s="1">
        <f>IFERROR(VLOOKUP(A12, 'Exercise Database'!A:J, 7, FALSE) * B12, "")</f>
        <v>0</v>
      </c>
      <c r="I12" s="1">
        <f>IFERROR(VLOOKUP(A12, 'Exercise Database'!A:J, 8, FALSE) * B12, "")</f>
        <v>0</v>
      </c>
      <c r="J12" s="1">
        <f>IFERROR(VLOOKUP(A12, 'Exercise Database'!A:J, 9, FALSE) * B12, "")</f>
        <v>0</v>
      </c>
      <c r="K12" s="1">
        <f>IFERROR(VLOOKUP(A12, 'Exercise Database'!A:J, 10, FALSE) * B12, "")</f>
        <v>0</v>
      </c>
    </row>
    <row r="13" spans="1:22" x14ac:dyDescent="0.3">
      <c r="A13" s="1" t="s">
        <v>38</v>
      </c>
      <c r="B13" s="1">
        <v>3</v>
      </c>
      <c r="C13" s="1">
        <f>IFERROR(VLOOKUP(A13, 'Exercise Database'!A:J, 2, FALSE) * B13, "")</f>
        <v>0</v>
      </c>
      <c r="D13" s="1">
        <f>IFERROR(VLOOKUP(A13, 'Exercise Database'!A:J, 3, FALSE) * B13, "")</f>
        <v>3</v>
      </c>
      <c r="E13" s="1">
        <f>IFERROR(VLOOKUP(A13, 'Exercise Database'!A:J, 4, FALSE) * B13, "")</f>
        <v>0.75</v>
      </c>
      <c r="F13" s="1">
        <f>IFERROR(VLOOKUP(A13, 'Exercise Database'!A:J, 5, FALSE) * B13, "")</f>
        <v>0</v>
      </c>
      <c r="G13" s="1">
        <f>IFERROR(VLOOKUP(A13, 'Exercise Database'!A:J, 6, FALSE) * B13, "")</f>
        <v>0</v>
      </c>
      <c r="H13" s="1">
        <f>IFERROR(VLOOKUP(A13, 'Exercise Database'!A:J, 7, FALSE) * B13, "")</f>
        <v>0</v>
      </c>
      <c r="I13" s="1">
        <f>IFERROR(VLOOKUP(A13, 'Exercise Database'!A:J, 8, FALSE) * B13, "")</f>
        <v>0</v>
      </c>
      <c r="J13" s="1">
        <f>IFERROR(VLOOKUP(A13, 'Exercise Database'!A:J, 9, FALSE) * B13, "")</f>
        <v>0</v>
      </c>
      <c r="K13" s="1">
        <f>IFERROR(VLOOKUP(A13, 'Exercise Database'!A:J, 10, FALSE) * B13, "")</f>
        <v>0</v>
      </c>
    </row>
    <row r="14" spans="1:22" x14ac:dyDescent="0.3">
      <c r="A14" s="1" t="s">
        <v>26</v>
      </c>
      <c r="B14" s="1">
        <v>3</v>
      </c>
      <c r="C14" s="1">
        <f>IFERROR(VLOOKUP(A14, 'Exercise Database'!A:J, 2, FALSE) * B14, "")</f>
        <v>0</v>
      </c>
      <c r="D14" s="1">
        <f>IFERROR(VLOOKUP(A14, 'Exercise Database'!A:J, 3, FALSE) * B14, "")</f>
        <v>0.75</v>
      </c>
      <c r="E14" s="1">
        <f>IFERROR(VLOOKUP(A14, 'Exercise Database'!A:J, 4, FALSE) * B14, "")</f>
        <v>3</v>
      </c>
      <c r="F14" s="1">
        <f>IFERROR(VLOOKUP(A14, 'Exercise Database'!A:J, 5, FALSE) * B14, "")</f>
        <v>0</v>
      </c>
      <c r="G14" s="1">
        <f>IFERROR(VLOOKUP(A14, 'Exercise Database'!A:J, 6, FALSE) * B14, "")</f>
        <v>2.25</v>
      </c>
      <c r="H14" s="1">
        <f>IFERROR(VLOOKUP(A14, 'Exercise Database'!A:J, 7, FALSE) * B14, "")</f>
        <v>0</v>
      </c>
      <c r="I14" s="1">
        <f>IFERROR(VLOOKUP(A14, 'Exercise Database'!A:J, 8, FALSE) * B14, "")</f>
        <v>0</v>
      </c>
      <c r="J14" s="1">
        <f>IFERROR(VLOOKUP(A14, 'Exercise Database'!A:J, 9, FALSE) * B14, "")</f>
        <v>0</v>
      </c>
      <c r="K14" s="1">
        <f>IFERROR(VLOOKUP(A14, 'Exercise Database'!A:J, 10, FALSE) * B14, "")</f>
        <v>0</v>
      </c>
    </row>
    <row r="15" spans="1:22" x14ac:dyDescent="0.3">
      <c r="A15" s="1" t="s">
        <v>28</v>
      </c>
      <c r="B15" s="1">
        <v>3</v>
      </c>
      <c r="C15" s="1">
        <f>IFERROR(VLOOKUP(A15, 'Exercise Database'!A:J, 2, FALSE) * B15, "")</f>
        <v>0</v>
      </c>
      <c r="D15" s="1">
        <f>IFERROR(VLOOKUP(A15, 'Exercise Database'!A:J, 3, FALSE) * B15, "")</f>
        <v>0</v>
      </c>
      <c r="E15" s="1">
        <f>IFERROR(VLOOKUP(A15, 'Exercise Database'!A:J, 4, FALSE) * B15, "")</f>
        <v>0</v>
      </c>
      <c r="F15" s="1">
        <f>IFERROR(VLOOKUP(A15, 'Exercise Database'!A:J, 5, FALSE) * B15, "")</f>
        <v>0</v>
      </c>
      <c r="G15" s="1">
        <f>IFERROR(VLOOKUP(A15, 'Exercise Database'!A:J, 6, FALSE) * B15, "")</f>
        <v>0</v>
      </c>
      <c r="H15" s="1">
        <f>IFERROR(VLOOKUP(A15, 'Exercise Database'!A:J, 7, FALSE) * B15, "")</f>
        <v>0</v>
      </c>
      <c r="I15" s="1">
        <f>IFERROR(VLOOKUP(A15, 'Exercise Database'!A:J, 8, FALSE) * B15, "")</f>
        <v>3</v>
      </c>
      <c r="J15" s="1">
        <f>IFERROR(VLOOKUP(A15, 'Exercise Database'!A:J, 9, FALSE) * B15, "")</f>
        <v>1.5</v>
      </c>
      <c r="K15" s="1">
        <f>IFERROR(VLOOKUP(A15, 'Exercise Database'!A:J, 10, FALSE) * B15, "")</f>
        <v>1.5</v>
      </c>
    </row>
    <row r="16" spans="1:22" x14ac:dyDescent="0.3">
      <c r="A16" s="1" t="s">
        <v>29</v>
      </c>
      <c r="B16" s="1">
        <v>3</v>
      </c>
      <c r="C16" s="1">
        <f>IFERROR(VLOOKUP(A16, 'Exercise Database'!A:J, 2, FALSE) * B16, "")</f>
        <v>0</v>
      </c>
      <c r="D16" s="1">
        <f>IFERROR(VLOOKUP(A16, 'Exercise Database'!A:J, 3, FALSE) * B16, "")</f>
        <v>0</v>
      </c>
      <c r="E16" s="1">
        <f>IFERROR(VLOOKUP(A16, 'Exercise Database'!A:J, 4, FALSE) * B16, "")</f>
        <v>0</v>
      </c>
      <c r="F16" s="1">
        <f>IFERROR(VLOOKUP(A16, 'Exercise Database'!A:J, 5, FALSE) * B16, "")</f>
        <v>0</v>
      </c>
      <c r="G16" s="1">
        <f>IFERROR(VLOOKUP(A16, 'Exercise Database'!A:J, 6, FALSE) * B16, "")</f>
        <v>0</v>
      </c>
      <c r="H16" s="1">
        <f>IFERROR(VLOOKUP(A16, 'Exercise Database'!A:J, 7, FALSE) * B16, "")</f>
        <v>0</v>
      </c>
      <c r="I16" s="1">
        <f>IFERROR(VLOOKUP(A16, 'Exercise Database'!A:J, 8, FALSE) * B16, "")</f>
        <v>3</v>
      </c>
      <c r="J16" s="1">
        <f>IFERROR(VLOOKUP(A16, 'Exercise Database'!A:J, 9, FALSE) * B16, "")</f>
        <v>1.5</v>
      </c>
      <c r="K16" s="1">
        <f>IFERROR(VLOOKUP(A16, 'Exercise Database'!A:J, 10, FALSE) * B16, "")</f>
        <v>1.5</v>
      </c>
    </row>
    <row r="17" spans="1:11" x14ac:dyDescent="0.3">
      <c r="A17" s="1" t="s">
        <v>31</v>
      </c>
      <c r="B17" s="1">
        <v>3</v>
      </c>
      <c r="C17" s="1">
        <f>IFERROR(VLOOKUP(A17, 'Exercise Database'!A:J, 2, FALSE) * B17, "")</f>
        <v>0</v>
      </c>
      <c r="D17" s="1">
        <f>IFERROR(VLOOKUP(A17, 'Exercise Database'!A:J, 3, FALSE) * B17, "")</f>
        <v>0</v>
      </c>
      <c r="E17" s="1">
        <f>IFERROR(VLOOKUP(A17, 'Exercise Database'!A:J, 4, FALSE) * B17, "")</f>
        <v>1.5</v>
      </c>
      <c r="F17" s="1">
        <f>IFERROR(VLOOKUP(A17, 'Exercise Database'!A:J, 5, FALSE) * B17, "")</f>
        <v>0</v>
      </c>
      <c r="G17" s="1">
        <f>IFERROR(VLOOKUP(A17, 'Exercise Database'!A:J, 6, FALSE) * B17, "")</f>
        <v>0</v>
      </c>
      <c r="H17" s="1">
        <f>IFERROR(VLOOKUP(A17, 'Exercise Database'!A:J, 7, FALSE) * B17, "")</f>
        <v>0</v>
      </c>
      <c r="I17" s="1">
        <f>IFERROR(VLOOKUP(A17, 'Exercise Database'!A:J, 8, FALSE) * B17, "")</f>
        <v>0</v>
      </c>
      <c r="J17" s="1">
        <f>IFERROR(VLOOKUP(A17, 'Exercise Database'!A:J, 9, FALSE) * B17, "")</f>
        <v>3</v>
      </c>
      <c r="K17" s="1">
        <f>IFERROR(VLOOKUP(A17, 'Exercise Database'!A:J, 10, FALSE) * B17, "")</f>
        <v>1.5</v>
      </c>
    </row>
    <row r="18" spans="1:11" x14ac:dyDescent="0.3">
      <c r="A18" s="1" t="s">
        <v>30</v>
      </c>
      <c r="B18" s="1">
        <v>3</v>
      </c>
      <c r="C18" s="1">
        <f>IFERROR(VLOOKUP(A18, 'Exercise Database'!A:J, 2, FALSE) * B18, "")</f>
        <v>0</v>
      </c>
      <c r="D18" s="1">
        <f>IFERROR(VLOOKUP(A18, 'Exercise Database'!A:J, 3, FALSE) * B18, "")</f>
        <v>0</v>
      </c>
      <c r="E18" s="1">
        <f>IFERROR(VLOOKUP(A18, 'Exercise Database'!A:J, 4, FALSE) * B18, "")</f>
        <v>0</v>
      </c>
      <c r="F18" s="1">
        <f>IFERROR(VLOOKUP(A18, 'Exercise Database'!A:J, 5, FALSE) * B18, "")</f>
        <v>0</v>
      </c>
      <c r="G18" s="1">
        <f>IFERROR(VLOOKUP(A18, 'Exercise Database'!A:J, 6, FALSE) * B18, "")</f>
        <v>0</v>
      </c>
      <c r="H18" s="1">
        <f>IFERROR(VLOOKUP(A18, 'Exercise Database'!A:J, 7, FALSE) * B18, "")</f>
        <v>0</v>
      </c>
      <c r="I18" s="1">
        <f>IFERROR(VLOOKUP(A18, 'Exercise Database'!A:J, 8, FALSE) * B18, "")</f>
        <v>3</v>
      </c>
      <c r="J18" s="1">
        <f>IFERROR(VLOOKUP(A18, 'Exercise Database'!A:J, 9, FALSE) * B18, "")</f>
        <v>0</v>
      </c>
      <c r="K18" s="1">
        <f>IFERROR(VLOOKUP(A18, 'Exercise Database'!A:J, 10, FALSE) * B18, "")</f>
        <v>0</v>
      </c>
    </row>
    <row r="19" spans="1:11" x14ac:dyDescent="0.3">
      <c r="A19" s="1" t="s">
        <v>32</v>
      </c>
      <c r="B19" s="1">
        <v>3</v>
      </c>
      <c r="C19" s="1">
        <f>IFERROR(VLOOKUP(A19, 'Exercise Database'!A:J, 2, FALSE) * B19, "")</f>
        <v>0</v>
      </c>
      <c r="D19" s="1">
        <f>IFERROR(VLOOKUP(A19, 'Exercise Database'!A:J, 3, FALSE) * B19, "")</f>
        <v>0</v>
      </c>
      <c r="E19" s="1">
        <f>IFERROR(VLOOKUP(A19, 'Exercise Database'!A:J, 4, FALSE) * B19, "")</f>
        <v>0</v>
      </c>
      <c r="F19" s="1">
        <f>IFERROR(VLOOKUP(A19, 'Exercise Database'!A:J, 5, FALSE) * B19, "")</f>
        <v>0</v>
      </c>
      <c r="G19" s="1">
        <f>IFERROR(VLOOKUP(A19, 'Exercise Database'!A:J, 6, FALSE) * B19, "")</f>
        <v>0</v>
      </c>
      <c r="H19" s="1">
        <f>IFERROR(VLOOKUP(A19, 'Exercise Database'!A:J, 7, FALSE) * B19, "")</f>
        <v>0</v>
      </c>
      <c r="I19" s="1">
        <f>IFERROR(VLOOKUP(A19, 'Exercise Database'!A:J, 8, FALSE) * B19, "")</f>
        <v>0</v>
      </c>
      <c r="J19" s="1">
        <f>IFERROR(VLOOKUP(A19, 'Exercise Database'!A:J, 9, FALSE) * B19, "")</f>
        <v>3</v>
      </c>
      <c r="K19" s="1">
        <f>IFERROR(VLOOKUP(A19, 'Exercise Database'!A:J, 10, FALSE) * B19, "")</f>
        <v>0</v>
      </c>
    </row>
    <row r="20" spans="1:11" x14ac:dyDescent="0.3">
      <c r="A20" s="1" t="s">
        <v>33</v>
      </c>
      <c r="B20" s="1">
        <v>5</v>
      </c>
      <c r="C20" s="1">
        <f>IFERROR(VLOOKUP(A20, 'Exercise Database'!A:J, 2, FALSE) * B20, "")</f>
        <v>0</v>
      </c>
      <c r="D20" s="1">
        <f>IFERROR(VLOOKUP(A20, 'Exercise Database'!A:J, 3, FALSE) * B20, "")</f>
        <v>0</v>
      </c>
      <c r="E20" s="1">
        <f>IFERROR(VLOOKUP(A20, 'Exercise Database'!A:J, 4, FALSE) * B20, "")</f>
        <v>0</v>
      </c>
      <c r="F20" s="1">
        <f>IFERROR(VLOOKUP(A20, 'Exercise Database'!A:J, 5, FALSE) * B20, "")</f>
        <v>0</v>
      </c>
      <c r="G20" s="1">
        <f>IFERROR(VLOOKUP(A20, 'Exercise Database'!A:J, 6, FALSE) * B20, "")</f>
        <v>0</v>
      </c>
      <c r="H20" s="1">
        <f>IFERROR(VLOOKUP(A20, 'Exercise Database'!A:J, 7, FALSE) * B20, "")</f>
        <v>5</v>
      </c>
      <c r="I20" s="1">
        <f>IFERROR(VLOOKUP(A20, 'Exercise Database'!A:J, 8, FALSE) * B20, "")</f>
        <v>0</v>
      </c>
      <c r="J20" s="1">
        <f>IFERROR(VLOOKUP(A20, 'Exercise Database'!A:J, 9, FALSE) * B20, "")</f>
        <v>0</v>
      </c>
      <c r="K20" s="1">
        <f>IFERROR(VLOOKUP(A20, 'Exercise Database'!A:J, 10, FALSE) * B20, "")</f>
        <v>0</v>
      </c>
    </row>
    <row r="21" spans="1:11" x14ac:dyDescent="0.3">
      <c r="A21" s="1" t="s">
        <v>34</v>
      </c>
      <c r="B21" s="1">
        <v>5</v>
      </c>
      <c r="C21" s="1">
        <f>IFERROR(VLOOKUP(A21, 'Exercise Database'!A:J, 2, FALSE) * B21, "")</f>
        <v>0</v>
      </c>
      <c r="D21" s="1">
        <f>IFERROR(VLOOKUP(A21, 'Exercise Database'!A:J, 3, FALSE) * B21, "")</f>
        <v>0</v>
      </c>
      <c r="E21" s="1">
        <f>IFERROR(VLOOKUP(A21, 'Exercise Database'!A:J, 4, FALSE) * B21, "")</f>
        <v>0</v>
      </c>
      <c r="F21" s="1">
        <f>IFERROR(VLOOKUP(A21, 'Exercise Database'!A:J, 5, FALSE) * B21, "")</f>
        <v>0</v>
      </c>
      <c r="G21" s="1">
        <f>IFERROR(VLOOKUP(A21, 'Exercise Database'!A:J, 6, FALSE) * B21, "")</f>
        <v>0</v>
      </c>
      <c r="H21" s="1">
        <f>IFERROR(VLOOKUP(A21, 'Exercise Database'!A:J, 7, FALSE) * B21, "")</f>
        <v>5</v>
      </c>
      <c r="I21" s="1">
        <f>IFERROR(VLOOKUP(A21, 'Exercise Database'!A:J, 8, FALSE) * B21, "")</f>
        <v>0</v>
      </c>
      <c r="J21" s="1">
        <f>IFERROR(VLOOKUP(A21, 'Exercise Database'!A:J, 9, FALSE) * B21, "")</f>
        <v>0</v>
      </c>
      <c r="K21" s="1">
        <f>IFERROR(VLOOKUP(A21, 'Exercise Database'!A:J, 10, FALSE) * B21, "")</f>
        <v>0</v>
      </c>
    </row>
    <row r="22" spans="1:11" x14ac:dyDescent="0.3">
      <c r="C22" s="1" t="str">
        <f>IFERROR(VLOOKUP(A22, 'Exercise Database'!A:J, 2, FALSE) * B22, "")</f>
        <v/>
      </c>
      <c r="D22" s="1" t="str">
        <f>IFERROR(VLOOKUP(A22, 'Exercise Database'!A:J, 3, FALSE) * B22, "")</f>
        <v/>
      </c>
      <c r="E22" s="1" t="str">
        <f>IFERROR(VLOOKUP(A22, 'Exercise Database'!A:J, 4, FALSE) * B22, "")</f>
        <v/>
      </c>
      <c r="F22" s="1" t="str">
        <f>IFERROR(VLOOKUP(A22, 'Exercise Database'!A:J, 5, FALSE) * B22, "")</f>
        <v/>
      </c>
      <c r="G22" s="1" t="str">
        <f>IFERROR(VLOOKUP(A22, 'Exercise Database'!A:J, 6, FALSE) * B22, "")</f>
        <v/>
      </c>
      <c r="H22" s="1" t="str">
        <f>IFERROR(VLOOKUP(A22, 'Exercise Database'!A:J, 7, FALSE) * B22, "")</f>
        <v/>
      </c>
      <c r="I22" s="1" t="str">
        <f>IFERROR(VLOOKUP(A22, 'Exercise Database'!A:J, 8, FALSE) * B22, "")</f>
        <v/>
      </c>
      <c r="J22" s="1" t="str">
        <f>IFERROR(VLOOKUP(A22, 'Exercise Database'!A:J, 9, FALSE) * B22, "")</f>
        <v/>
      </c>
      <c r="K22" s="1" t="str">
        <f>IFERROR(VLOOKUP(A22, 'Exercise Database'!A:J, 10, FALSE) * B22, "")</f>
        <v/>
      </c>
    </row>
    <row r="23" spans="1:11" x14ac:dyDescent="0.3">
      <c r="C23" s="1" t="str">
        <f>IFERROR(VLOOKUP(A23, 'Exercise Database'!A:J, 2, FALSE) * B23, "")</f>
        <v/>
      </c>
      <c r="D23" s="1" t="str">
        <f>IFERROR(VLOOKUP(A23, 'Exercise Database'!A:J, 3, FALSE) * B23, "")</f>
        <v/>
      </c>
      <c r="E23" s="1" t="str">
        <f>IFERROR(VLOOKUP(A23, 'Exercise Database'!A:J, 4, FALSE) * B23, "")</f>
        <v/>
      </c>
      <c r="F23" s="1" t="str">
        <f>IFERROR(VLOOKUP(A23, 'Exercise Database'!A:J, 5, FALSE) * B23, "")</f>
        <v/>
      </c>
      <c r="G23" s="1" t="str">
        <f>IFERROR(VLOOKUP(A23, 'Exercise Database'!A:J, 6, FALSE) * B23, "")</f>
        <v/>
      </c>
      <c r="H23" s="1" t="str">
        <f>IFERROR(VLOOKUP(A23, 'Exercise Database'!A:J, 7, FALSE) * B23, "")</f>
        <v/>
      </c>
      <c r="I23" s="1" t="str">
        <f>IFERROR(VLOOKUP(A23, 'Exercise Database'!A:J, 8, FALSE) * B23, "")</f>
        <v/>
      </c>
      <c r="J23" s="1" t="str">
        <f>IFERROR(VLOOKUP(A23, 'Exercise Database'!A:J, 9, FALSE) * B23, "")</f>
        <v/>
      </c>
      <c r="K23" s="1" t="str">
        <f>IFERROR(VLOOKUP(A23, 'Exercise Database'!A:J, 10, FALSE) * B23, "")</f>
        <v/>
      </c>
    </row>
    <row r="24" spans="1:11" x14ac:dyDescent="0.3">
      <c r="C24" s="1" t="str">
        <f>IFERROR(VLOOKUP(A24, 'Exercise Database'!A:J, 2, FALSE) * B24, "")</f>
        <v/>
      </c>
      <c r="D24" s="1" t="str">
        <f>IFERROR(VLOOKUP(A24, 'Exercise Database'!A:J, 3, FALSE) * B24, "")</f>
        <v/>
      </c>
      <c r="E24" s="1" t="str">
        <f>IFERROR(VLOOKUP(A24, 'Exercise Database'!A:J, 4, FALSE) * B24, "")</f>
        <v/>
      </c>
      <c r="F24" s="1" t="str">
        <f>IFERROR(VLOOKUP(A24, 'Exercise Database'!A:J, 5, FALSE) * B24, "")</f>
        <v/>
      </c>
      <c r="G24" s="1" t="str">
        <f>IFERROR(VLOOKUP(A24, 'Exercise Database'!A:J, 6, FALSE) * B24, "")</f>
        <v/>
      </c>
      <c r="H24" s="1" t="str">
        <f>IFERROR(VLOOKUP(A24, 'Exercise Database'!A:J, 7, FALSE) * B24, "")</f>
        <v/>
      </c>
      <c r="I24" s="1" t="str">
        <f>IFERROR(VLOOKUP(A24, 'Exercise Database'!A:J, 8, FALSE) * B24, "")</f>
        <v/>
      </c>
      <c r="J24" s="1" t="str">
        <f>IFERROR(VLOOKUP(A24, 'Exercise Database'!A:J, 9, FALSE) * B24, "")</f>
        <v/>
      </c>
      <c r="K24" s="1" t="str">
        <f>IFERROR(VLOOKUP(A24, 'Exercise Database'!A:J, 10, FALSE) * B24, "")</f>
        <v/>
      </c>
    </row>
    <row r="25" spans="1:11" x14ac:dyDescent="0.3">
      <c r="C25" s="1" t="str">
        <f>IFERROR(VLOOKUP(A25, 'Exercise Database'!A:J, 2, FALSE) * B25, "")</f>
        <v/>
      </c>
      <c r="D25" s="1" t="str">
        <f>IFERROR(VLOOKUP(A25, 'Exercise Database'!A:J, 3, FALSE) * B25, "")</f>
        <v/>
      </c>
      <c r="E25" s="1" t="str">
        <f>IFERROR(VLOOKUP(A25, 'Exercise Database'!A:J, 4, FALSE) * B25, "")</f>
        <v/>
      </c>
      <c r="F25" s="1" t="str">
        <f>IFERROR(VLOOKUP(A25, 'Exercise Database'!A:J, 5, FALSE) * B25, "")</f>
        <v/>
      </c>
      <c r="G25" s="1" t="str">
        <f>IFERROR(VLOOKUP(A25, 'Exercise Database'!A:J, 6, FALSE) * B25, "")</f>
        <v/>
      </c>
      <c r="H25" s="1" t="str">
        <f>IFERROR(VLOOKUP(A25, 'Exercise Database'!A:J, 7, FALSE) * B25, "")</f>
        <v/>
      </c>
      <c r="I25" s="1" t="str">
        <f>IFERROR(VLOOKUP(A25, 'Exercise Database'!A:J, 8, FALSE) * B25, "")</f>
        <v/>
      </c>
      <c r="J25" s="1" t="str">
        <f>IFERROR(VLOOKUP(A25, 'Exercise Database'!A:J, 9, FALSE) * B25, "")</f>
        <v/>
      </c>
      <c r="K25" s="1" t="str">
        <f>IFERROR(VLOOKUP(A25, 'Exercise Database'!A:J, 10, FALSE) * B25, "")</f>
        <v/>
      </c>
    </row>
    <row r="26" spans="1:11" x14ac:dyDescent="0.3">
      <c r="C26" s="1" t="str">
        <f>IFERROR(VLOOKUP(A26, 'Exercise Database'!A:J, 2, FALSE) * B26, "")</f>
        <v/>
      </c>
      <c r="D26" s="1" t="str">
        <f>IFERROR(VLOOKUP(A26, 'Exercise Database'!A:J, 3, FALSE) * B26, "")</f>
        <v/>
      </c>
      <c r="E26" s="1" t="str">
        <f>IFERROR(VLOOKUP(A26, 'Exercise Database'!A:J, 4, FALSE) * B26, "")</f>
        <v/>
      </c>
      <c r="F26" s="1" t="str">
        <f>IFERROR(VLOOKUP(A26, 'Exercise Database'!A:J, 5, FALSE) * B26, "")</f>
        <v/>
      </c>
      <c r="G26" s="1" t="str">
        <f>IFERROR(VLOOKUP(A26, 'Exercise Database'!A:J, 6, FALSE) * B26, "")</f>
        <v/>
      </c>
      <c r="H26" s="1" t="str">
        <f>IFERROR(VLOOKUP(A26, 'Exercise Database'!A:J, 7, FALSE) * B26, "")</f>
        <v/>
      </c>
      <c r="I26" s="1" t="str">
        <f>IFERROR(VLOOKUP(A26, 'Exercise Database'!A:J, 8, FALSE) * B26, "")</f>
        <v/>
      </c>
      <c r="J26" s="1" t="str">
        <f>IFERROR(VLOOKUP(A26, 'Exercise Database'!A:J, 9, FALSE) * B26, "")</f>
        <v/>
      </c>
      <c r="K26" s="1" t="str">
        <f>IFERROR(VLOOKUP(A26, 'Exercise Database'!A:J, 10, FALSE) * B26, "")</f>
        <v/>
      </c>
    </row>
    <row r="27" spans="1:11" x14ac:dyDescent="0.3">
      <c r="C27" s="1" t="str">
        <f>IFERROR(VLOOKUP(A27, 'Exercise Database'!A:J, 2, FALSE) * B27, "")</f>
        <v/>
      </c>
      <c r="D27" s="1" t="str">
        <f>IFERROR(VLOOKUP(A27, 'Exercise Database'!A:J, 3, FALSE) * B27, "")</f>
        <v/>
      </c>
      <c r="E27" s="1" t="str">
        <f>IFERROR(VLOOKUP(A27, 'Exercise Database'!A:J, 4, FALSE) * B27, "")</f>
        <v/>
      </c>
      <c r="F27" s="1" t="str">
        <f>IFERROR(VLOOKUP(A27, 'Exercise Database'!A:J, 5, FALSE) * B27, "")</f>
        <v/>
      </c>
      <c r="G27" s="1" t="str">
        <f>IFERROR(VLOOKUP(A27, 'Exercise Database'!A:J, 6, FALSE) * B27, "")</f>
        <v/>
      </c>
      <c r="H27" s="1" t="str">
        <f>IFERROR(VLOOKUP(A27, 'Exercise Database'!A:J, 7, FALSE) * B27, "")</f>
        <v/>
      </c>
      <c r="I27" s="1" t="str">
        <f>IFERROR(VLOOKUP(A27, 'Exercise Database'!A:J, 8, FALSE) * B27, "")</f>
        <v/>
      </c>
      <c r="J27" s="1" t="str">
        <f>IFERROR(VLOOKUP(A27, 'Exercise Database'!A:J, 9, FALSE) * B27, "")</f>
        <v/>
      </c>
      <c r="K27" s="1" t="str">
        <f>IFERROR(VLOOKUP(A27, 'Exercise Database'!A:J, 10, FALSE) * B27, "")</f>
        <v/>
      </c>
    </row>
    <row r="28" spans="1:11" x14ac:dyDescent="0.3">
      <c r="C28" s="1" t="str">
        <f>IFERROR(VLOOKUP(A28, 'Exercise Database'!A:J, 2, FALSE) * B28, "")</f>
        <v/>
      </c>
      <c r="D28" s="1" t="str">
        <f>IFERROR(VLOOKUP(A28, 'Exercise Database'!A:J, 3, FALSE) * B28, "")</f>
        <v/>
      </c>
      <c r="E28" s="1" t="str">
        <f>IFERROR(VLOOKUP(A28, 'Exercise Database'!A:J, 4, FALSE) * B28, "")</f>
        <v/>
      </c>
      <c r="F28" s="1" t="str">
        <f>IFERROR(VLOOKUP(A28, 'Exercise Database'!A:J, 5, FALSE) * B28, "")</f>
        <v/>
      </c>
      <c r="G28" s="1" t="str">
        <f>IFERROR(VLOOKUP(A28, 'Exercise Database'!A:J, 6, FALSE) * B28, "")</f>
        <v/>
      </c>
      <c r="H28" s="1" t="str">
        <f>IFERROR(VLOOKUP(A28, 'Exercise Database'!A:J, 7, FALSE) * B28, "")</f>
        <v/>
      </c>
      <c r="I28" s="1" t="str">
        <f>IFERROR(VLOOKUP(A28, 'Exercise Database'!A:J, 8, FALSE) * B28, "")</f>
        <v/>
      </c>
      <c r="J28" s="1" t="str">
        <f>IFERROR(VLOOKUP(A28, 'Exercise Database'!A:J, 9, FALSE) * B28, "")</f>
        <v/>
      </c>
      <c r="K28" s="1" t="str">
        <f>IFERROR(VLOOKUP(A28, 'Exercise Database'!A:J, 10, FALSE) * B28, "")</f>
        <v/>
      </c>
    </row>
    <row r="29" spans="1:11" x14ac:dyDescent="0.3">
      <c r="C29" s="1" t="str">
        <f>IFERROR(VLOOKUP(A29, 'Exercise Database'!A:J, 2, FALSE) * B29, "")</f>
        <v/>
      </c>
      <c r="D29" s="1" t="str">
        <f>IFERROR(VLOOKUP(A29, 'Exercise Database'!A:J, 3, FALSE) * B29, "")</f>
        <v/>
      </c>
      <c r="E29" s="1" t="str">
        <f>IFERROR(VLOOKUP(A29, 'Exercise Database'!A:J, 4, FALSE) * B29, "")</f>
        <v/>
      </c>
      <c r="F29" s="1" t="str">
        <f>IFERROR(VLOOKUP(A29, 'Exercise Database'!A:J, 5, FALSE) * B29, "")</f>
        <v/>
      </c>
      <c r="G29" s="1" t="str">
        <f>IFERROR(VLOOKUP(A29, 'Exercise Database'!A:J, 6, FALSE) * B29, "")</f>
        <v/>
      </c>
      <c r="H29" s="1" t="str">
        <f>IFERROR(VLOOKUP(A29, 'Exercise Database'!A:J, 7, FALSE) * B29, "")</f>
        <v/>
      </c>
      <c r="I29" s="1" t="str">
        <f>IFERROR(VLOOKUP(A29, 'Exercise Database'!A:J, 8, FALSE) * B29, "")</f>
        <v/>
      </c>
      <c r="J29" s="1" t="str">
        <f>IFERROR(VLOOKUP(A29, 'Exercise Database'!A:J, 9, FALSE) * B29, "")</f>
        <v/>
      </c>
      <c r="K29" s="1" t="str">
        <f>IFERROR(VLOOKUP(A29, 'Exercise Database'!A:J, 10, FALSE) * B29, "")</f>
        <v/>
      </c>
    </row>
    <row r="30" spans="1:11" x14ac:dyDescent="0.3">
      <c r="C30" s="1" t="str">
        <f>IFERROR(VLOOKUP(A30, 'Exercise Database'!A:J, 2, FALSE) * B30, "")</f>
        <v/>
      </c>
      <c r="D30" s="1" t="str">
        <f>IFERROR(VLOOKUP(A30, 'Exercise Database'!A:J, 3, FALSE) * B30, "")</f>
        <v/>
      </c>
      <c r="E30" s="1" t="str">
        <f>IFERROR(VLOOKUP(A30, 'Exercise Database'!A:J, 4, FALSE) * B30, "")</f>
        <v/>
      </c>
      <c r="F30" s="1" t="str">
        <f>IFERROR(VLOOKUP(A30, 'Exercise Database'!A:J, 5, FALSE) * B30, "")</f>
        <v/>
      </c>
      <c r="G30" s="1" t="str">
        <f>IFERROR(VLOOKUP(A30, 'Exercise Database'!A:J, 6, FALSE) * B30, "")</f>
        <v/>
      </c>
      <c r="H30" s="1" t="str">
        <f>IFERROR(VLOOKUP(A30, 'Exercise Database'!A:J, 7, FALSE) * B30, "")</f>
        <v/>
      </c>
      <c r="I30" s="1" t="str">
        <f>IFERROR(VLOOKUP(A30, 'Exercise Database'!A:J, 8, FALSE) * B30, "")</f>
        <v/>
      </c>
      <c r="J30" s="1" t="str">
        <f>IFERROR(VLOOKUP(A30, 'Exercise Database'!A:J, 9, FALSE) * B30, "")</f>
        <v/>
      </c>
      <c r="K30" s="1" t="str">
        <f>IFERROR(VLOOKUP(A30, 'Exercise Database'!A:J, 10, FALSE) * B30, "")</f>
        <v/>
      </c>
    </row>
    <row r="31" spans="1:11" x14ac:dyDescent="0.3">
      <c r="C31" s="1" t="str">
        <f>IFERROR(VLOOKUP(A31, 'Exercise Database'!A:J, 2, FALSE) * B31, "")</f>
        <v/>
      </c>
      <c r="D31" s="1" t="str">
        <f>IFERROR(VLOOKUP(A31, 'Exercise Database'!A:J, 3, FALSE) * B31, "")</f>
        <v/>
      </c>
      <c r="E31" s="1" t="str">
        <f>IFERROR(VLOOKUP(A31, 'Exercise Database'!A:J, 4, FALSE) * B31, "")</f>
        <v/>
      </c>
      <c r="F31" s="1" t="str">
        <f>IFERROR(VLOOKUP(A31, 'Exercise Database'!A:J, 5, FALSE) * B31, "")</f>
        <v/>
      </c>
      <c r="G31" s="1" t="str">
        <f>IFERROR(VLOOKUP(A31, 'Exercise Database'!A:J, 6, FALSE) * B31, "")</f>
        <v/>
      </c>
      <c r="H31" s="1" t="str">
        <f>IFERROR(VLOOKUP(A31, 'Exercise Database'!A:J, 7, FALSE) * B31, "")</f>
        <v/>
      </c>
      <c r="I31" s="1" t="str">
        <f>IFERROR(VLOOKUP(A31, 'Exercise Database'!A:J, 8, FALSE) * B31, "")</f>
        <v/>
      </c>
      <c r="J31" s="1" t="str">
        <f>IFERROR(VLOOKUP(A31, 'Exercise Database'!A:J, 9, FALSE) * B31, "")</f>
        <v/>
      </c>
      <c r="K31" s="1" t="str">
        <f>IFERROR(VLOOKUP(A31, 'Exercise Database'!A:J, 10, FALSE) * B31, "")</f>
        <v/>
      </c>
    </row>
    <row r="32" spans="1:11" x14ac:dyDescent="0.3">
      <c r="C32" s="1" t="str">
        <f>IFERROR(VLOOKUP(A32, 'Exercise Database'!A:J, 2, FALSE) * B32, "")</f>
        <v/>
      </c>
      <c r="D32" s="1" t="str">
        <f>IFERROR(VLOOKUP(A32, 'Exercise Database'!A:J, 3, FALSE) * B32, "")</f>
        <v/>
      </c>
      <c r="E32" s="1" t="str">
        <f>IFERROR(VLOOKUP(A32, 'Exercise Database'!A:J, 4, FALSE) * B32, "")</f>
        <v/>
      </c>
      <c r="F32" s="1" t="str">
        <f>IFERROR(VLOOKUP(A32, 'Exercise Database'!A:J, 5, FALSE) * B32, "")</f>
        <v/>
      </c>
      <c r="G32" s="1" t="str">
        <f>IFERROR(VLOOKUP(A32, 'Exercise Database'!A:J, 6, FALSE) * B32, "")</f>
        <v/>
      </c>
      <c r="H32" s="1" t="str">
        <f>IFERROR(VLOOKUP(A32, 'Exercise Database'!A:J, 7, FALSE) * B32, "")</f>
        <v/>
      </c>
      <c r="I32" s="1" t="str">
        <f>IFERROR(VLOOKUP(A32, 'Exercise Database'!A:J, 8, FALSE) * B32, "")</f>
        <v/>
      </c>
      <c r="J32" s="1" t="str">
        <f>IFERROR(VLOOKUP(A32, 'Exercise Database'!A:J, 9, FALSE) * B32, "")</f>
        <v/>
      </c>
      <c r="K32" s="1" t="str">
        <f>IFERROR(VLOOKUP(A32, 'Exercise Database'!A:J, 10, FALSE) * B32, "")</f>
        <v/>
      </c>
    </row>
    <row r="33" spans="3:11" x14ac:dyDescent="0.3">
      <c r="C33" s="1" t="str">
        <f>IFERROR(VLOOKUP(A33, 'Exercise Database'!A:J, 2, FALSE) * B33, "")</f>
        <v/>
      </c>
      <c r="D33" s="1" t="str">
        <f>IFERROR(VLOOKUP(A33, 'Exercise Database'!A:J, 3, FALSE) * B33, "")</f>
        <v/>
      </c>
      <c r="E33" s="1" t="str">
        <f>IFERROR(VLOOKUP(A33, 'Exercise Database'!A:J, 4, FALSE) * B33, "")</f>
        <v/>
      </c>
      <c r="F33" s="1" t="str">
        <f>IFERROR(VLOOKUP(A33, 'Exercise Database'!A:J, 5, FALSE) * B33, "")</f>
        <v/>
      </c>
      <c r="G33" s="1" t="str">
        <f>IFERROR(VLOOKUP(A33, 'Exercise Database'!A:J, 6, FALSE) * B33, "")</f>
        <v/>
      </c>
      <c r="H33" s="1" t="str">
        <f>IFERROR(VLOOKUP(A33, 'Exercise Database'!A:J, 7, FALSE) * B33, "")</f>
        <v/>
      </c>
      <c r="I33" s="1" t="str">
        <f>IFERROR(VLOOKUP(A33, 'Exercise Database'!A:J, 8, FALSE) * B33, "")</f>
        <v/>
      </c>
      <c r="J33" s="1" t="str">
        <f>IFERROR(VLOOKUP(A33, 'Exercise Database'!A:J, 9, FALSE) * B33, "")</f>
        <v/>
      </c>
      <c r="K33" s="1" t="str">
        <f>IFERROR(VLOOKUP(A33, 'Exercise Database'!A:J, 10, FALSE) * B33, "")</f>
        <v/>
      </c>
    </row>
    <row r="34" spans="3:11" x14ac:dyDescent="0.3">
      <c r="C34" s="1" t="str">
        <f>IFERROR(VLOOKUP(A34, 'Exercise Database'!A:J, 2, FALSE) * B34, "")</f>
        <v/>
      </c>
      <c r="D34" s="1" t="str">
        <f>IFERROR(VLOOKUP(A34, 'Exercise Database'!A:J, 3, FALSE) * B34, "")</f>
        <v/>
      </c>
      <c r="E34" s="1" t="str">
        <f>IFERROR(VLOOKUP(A34, 'Exercise Database'!A:J, 4, FALSE) * B34, "")</f>
        <v/>
      </c>
      <c r="F34" s="1" t="str">
        <f>IFERROR(VLOOKUP(A34, 'Exercise Database'!A:J, 5, FALSE) * B34, "")</f>
        <v/>
      </c>
      <c r="G34" s="1" t="str">
        <f>IFERROR(VLOOKUP(A34, 'Exercise Database'!A:J, 6, FALSE) * B34, "")</f>
        <v/>
      </c>
      <c r="H34" s="1" t="str">
        <f>IFERROR(VLOOKUP(A34, 'Exercise Database'!A:J, 7, FALSE) * B34, "")</f>
        <v/>
      </c>
      <c r="I34" s="1" t="str">
        <f>IFERROR(VLOOKUP(A34, 'Exercise Database'!A:J, 8, FALSE) * B34, "")</f>
        <v/>
      </c>
      <c r="J34" s="1" t="str">
        <f>IFERROR(VLOOKUP(A34, 'Exercise Database'!A:J, 9, FALSE) * B34, "")</f>
        <v/>
      </c>
      <c r="K34" s="1" t="str">
        <f>IFERROR(VLOOKUP(A34, 'Exercise Database'!A:J, 10, FALSE) * B34, "")</f>
        <v/>
      </c>
    </row>
    <row r="35" spans="3:11" x14ac:dyDescent="0.3">
      <c r="C35" s="1" t="str">
        <f>IFERROR(VLOOKUP(A35, 'Exercise Database'!A:J, 2, FALSE) * B35, "")</f>
        <v/>
      </c>
      <c r="D35" s="1" t="str">
        <f>IFERROR(VLOOKUP(A35, 'Exercise Database'!A:J, 3, FALSE) * B35, "")</f>
        <v/>
      </c>
      <c r="E35" s="1" t="str">
        <f>IFERROR(VLOOKUP(A35, 'Exercise Database'!A:J, 4, FALSE) * B35, "")</f>
        <v/>
      </c>
      <c r="F35" s="1" t="str">
        <f>IFERROR(VLOOKUP(A35, 'Exercise Database'!A:J, 5, FALSE) * B35, "")</f>
        <v/>
      </c>
      <c r="G35" s="1" t="str">
        <f>IFERROR(VLOOKUP(A35, 'Exercise Database'!A:J, 6, FALSE) * B35, "")</f>
        <v/>
      </c>
      <c r="H35" s="1" t="str">
        <f>IFERROR(VLOOKUP(A35, 'Exercise Database'!A:J, 7, FALSE) * B35, "")</f>
        <v/>
      </c>
      <c r="I35" s="1" t="str">
        <f>IFERROR(VLOOKUP(A35, 'Exercise Database'!A:J, 8, FALSE) * B35, "")</f>
        <v/>
      </c>
      <c r="J35" s="1" t="str">
        <f>IFERROR(VLOOKUP(A35, 'Exercise Database'!A:J, 9, FALSE) * B35, "")</f>
        <v/>
      </c>
      <c r="K35" s="1" t="str">
        <f>IFERROR(VLOOKUP(A35, 'Exercise Database'!A:J, 10, FALSE) * B35, "")</f>
        <v/>
      </c>
    </row>
    <row r="36" spans="3:11" x14ac:dyDescent="0.3">
      <c r="C36" s="1" t="str">
        <f>IFERROR(VLOOKUP(A36, 'Exercise Database'!A:J, 2, FALSE) * B36, "")</f>
        <v/>
      </c>
      <c r="D36" s="1" t="str">
        <f>IFERROR(VLOOKUP(A36, 'Exercise Database'!A:J, 3, FALSE) * B36, "")</f>
        <v/>
      </c>
      <c r="E36" s="1" t="str">
        <f>IFERROR(VLOOKUP(A36, 'Exercise Database'!A:J, 4, FALSE) * B36, "")</f>
        <v/>
      </c>
      <c r="F36" s="1" t="str">
        <f>IFERROR(VLOOKUP(A36, 'Exercise Database'!A:J, 5, FALSE) * B36, "")</f>
        <v/>
      </c>
      <c r="G36" s="1" t="str">
        <f>IFERROR(VLOOKUP(A36, 'Exercise Database'!A:J, 6, FALSE) * B36, "")</f>
        <v/>
      </c>
      <c r="H36" s="1" t="str">
        <f>IFERROR(VLOOKUP(A36, 'Exercise Database'!A:J, 7, FALSE) * B36, "")</f>
        <v/>
      </c>
      <c r="I36" s="1" t="str">
        <f>IFERROR(VLOOKUP(A36, 'Exercise Database'!A:J, 8, FALSE) * B36, "")</f>
        <v/>
      </c>
      <c r="J36" s="1" t="str">
        <f>IFERROR(VLOOKUP(A36, 'Exercise Database'!A:J, 9, FALSE) * B36, "")</f>
        <v/>
      </c>
      <c r="K36" s="1" t="str">
        <f>IFERROR(VLOOKUP(A36, 'Exercise Database'!A:J, 10, FALSE) * B36, "")</f>
        <v/>
      </c>
    </row>
    <row r="37" spans="3:11" x14ac:dyDescent="0.3">
      <c r="C37" s="1" t="str">
        <f>IFERROR(VLOOKUP(A37, 'Exercise Database'!A:J, 2, FALSE) * B37, "")</f>
        <v/>
      </c>
      <c r="D37" s="1" t="str">
        <f>IFERROR(VLOOKUP(A37, 'Exercise Database'!A:J, 3, FALSE) * B37, "")</f>
        <v/>
      </c>
      <c r="E37" s="1" t="str">
        <f>IFERROR(VLOOKUP(A37, 'Exercise Database'!A:J, 4, FALSE) * B37, "")</f>
        <v/>
      </c>
      <c r="F37" s="1" t="str">
        <f>IFERROR(VLOOKUP(A37, 'Exercise Database'!A:J, 5, FALSE) * B37, "")</f>
        <v/>
      </c>
      <c r="G37" s="1" t="str">
        <f>IFERROR(VLOOKUP(A37, 'Exercise Database'!A:J, 6, FALSE) * B37, "")</f>
        <v/>
      </c>
      <c r="H37" s="1" t="str">
        <f>IFERROR(VLOOKUP(A37, 'Exercise Database'!A:J, 7, FALSE) * B37, "")</f>
        <v/>
      </c>
      <c r="I37" s="1" t="str">
        <f>IFERROR(VLOOKUP(A37, 'Exercise Database'!A:J, 8, FALSE) * B37, "")</f>
        <v/>
      </c>
      <c r="J37" s="1" t="str">
        <f>IFERROR(VLOOKUP(A37, 'Exercise Database'!A:J, 9, FALSE) * B37, "")</f>
        <v/>
      </c>
      <c r="K37" s="1" t="str">
        <f>IFERROR(VLOOKUP(A37, 'Exercise Database'!A:J, 10, FALSE) * B37, "")</f>
        <v/>
      </c>
    </row>
    <row r="38" spans="3:11" x14ac:dyDescent="0.3">
      <c r="C38" s="1" t="str">
        <f>IFERROR(VLOOKUP(A38, 'Exercise Database'!A:J, 2, FALSE) * B38, "")</f>
        <v/>
      </c>
      <c r="D38" s="1" t="str">
        <f>IFERROR(VLOOKUP(A38, 'Exercise Database'!A:J, 3, FALSE) * B38, "")</f>
        <v/>
      </c>
      <c r="E38" s="1" t="str">
        <f>IFERROR(VLOOKUP(A38, 'Exercise Database'!A:J, 4, FALSE) * B38, "")</f>
        <v/>
      </c>
      <c r="F38" s="1" t="str">
        <f>IFERROR(VLOOKUP(A38, 'Exercise Database'!A:J, 5, FALSE) * B38, "")</f>
        <v/>
      </c>
      <c r="G38" s="1" t="str">
        <f>IFERROR(VLOOKUP(A38, 'Exercise Database'!A:J, 6, FALSE) * B38, "")</f>
        <v/>
      </c>
      <c r="H38" s="1" t="str">
        <f>IFERROR(VLOOKUP(A38, 'Exercise Database'!A:J, 7, FALSE) * B38, "")</f>
        <v/>
      </c>
      <c r="I38" s="1" t="str">
        <f>IFERROR(VLOOKUP(A38, 'Exercise Database'!A:J, 8, FALSE) * B38, "")</f>
        <v/>
      </c>
      <c r="J38" s="1" t="str">
        <f>IFERROR(VLOOKUP(A38, 'Exercise Database'!A:J, 9, FALSE) * B38, "")</f>
        <v/>
      </c>
      <c r="K38" s="1" t="str">
        <f>IFERROR(VLOOKUP(A38, 'Exercise Database'!A:J, 10, FALSE) * B38, "")</f>
        <v/>
      </c>
    </row>
    <row r="39" spans="3:11" x14ac:dyDescent="0.3">
      <c r="C39" s="1" t="str">
        <f>IFERROR(VLOOKUP(A39, 'Exercise Database'!A:J, 2, FALSE) * B39, "")</f>
        <v/>
      </c>
      <c r="D39" s="1" t="str">
        <f>IFERROR(VLOOKUP(A39, 'Exercise Database'!A:J, 3, FALSE) * B39, "")</f>
        <v/>
      </c>
      <c r="E39" s="1" t="str">
        <f>IFERROR(VLOOKUP(A39, 'Exercise Database'!A:J, 4, FALSE) * B39, "")</f>
        <v/>
      </c>
      <c r="F39" s="1" t="str">
        <f>IFERROR(VLOOKUP(A39, 'Exercise Database'!A:J, 5, FALSE) * B39, "")</f>
        <v/>
      </c>
      <c r="G39" s="1" t="str">
        <f>IFERROR(VLOOKUP(A39, 'Exercise Database'!A:J, 6, FALSE) * B39, "")</f>
        <v/>
      </c>
      <c r="H39" s="1" t="str">
        <f>IFERROR(VLOOKUP(A39, 'Exercise Database'!A:J, 7, FALSE) * B39, "")</f>
        <v/>
      </c>
      <c r="I39" s="1" t="str">
        <f>IFERROR(VLOOKUP(A39, 'Exercise Database'!A:J, 8, FALSE) * B39, "")</f>
        <v/>
      </c>
      <c r="J39" s="1" t="str">
        <f>IFERROR(VLOOKUP(A39, 'Exercise Database'!A:J, 9, FALSE) * B39, "")</f>
        <v/>
      </c>
      <c r="K39" s="1" t="str">
        <f>IFERROR(VLOOKUP(A39, 'Exercise Database'!A:J, 10, FALSE) * B39, "")</f>
        <v/>
      </c>
    </row>
    <row r="40" spans="3:11" x14ac:dyDescent="0.3">
      <c r="C40" s="1" t="str">
        <f>IFERROR(VLOOKUP(A40, 'Exercise Database'!A:J, 2, FALSE) * B40, "")</f>
        <v/>
      </c>
      <c r="D40" s="1" t="str">
        <f>IFERROR(VLOOKUP(A40, 'Exercise Database'!A:J, 3, FALSE) * B40, "")</f>
        <v/>
      </c>
      <c r="E40" s="1" t="str">
        <f>IFERROR(VLOOKUP(A40, 'Exercise Database'!A:J, 4, FALSE) * B40, "")</f>
        <v/>
      </c>
      <c r="F40" s="1" t="str">
        <f>IFERROR(VLOOKUP(A40, 'Exercise Database'!A:J, 5, FALSE) * B40, "")</f>
        <v/>
      </c>
      <c r="G40" s="1" t="str">
        <f>IFERROR(VLOOKUP(A40, 'Exercise Database'!A:J, 6, FALSE) * B40, "")</f>
        <v/>
      </c>
      <c r="H40" s="1" t="str">
        <f>IFERROR(VLOOKUP(A40, 'Exercise Database'!A:J, 7, FALSE) * B40, "")</f>
        <v/>
      </c>
      <c r="I40" s="1" t="str">
        <f>IFERROR(VLOOKUP(A40, 'Exercise Database'!A:J, 8, FALSE) * B40, "")</f>
        <v/>
      </c>
      <c r="J40" s="1" t="str">
        <f>IFERROR(VLOOKUP(A40, 'Exercise Database'!A:J, 9, FALSE) * B40, "")</f>
        <v/>
      </c>
      <c r="K40" s="1" t="str">
        <f>IFERROR(VLOOKUP(A40, 'Exercise Database'!A:J, 10, FALSE) * B40, "")</f>
        <v/>
      </c>
    </row>
    <row r="41" spans="3:11" x14ac:dyDescent="0.3">
      <c r="C41" s="1" t="str">
        <f>IFERROR(VLOOKUP(A41, 'Exercise Database'!A:J, 2, FALSE) * B41, "")</f>
        <v/>
      </c>
      <c r="D41" s="1" t="str">
        <f>IFERROR(VLOOKUP(A41, 'Exercise Database'!A:J, 3, FALSE) * B41, "")</f>
        <v/>
      </c>
      <c r="E41" s="1" t="str">
        <f>IFERROR(VLOOKUP(A41, 'Exercise Database'!A:J, 4, FALSE) * B41, "")</f>
        <v/>
      </c>
      <c r="F41" s="1" t="str">
        <f>IFERROR(VLOOKUP(A41, 'Exercise Database'!A:J, 5, FALSE) * B41, "")</f>
        <v/>
      </c>
      <c r="G41" s="1" t="str">
        <f>IFERROR(VLOOKUP(A41, 'Exercise Database'!A:J, 6, FALSE) * B41, "")</f>
        <v/>
      </c>
      <c r="H41" s="1" t="str">
        <f>IFERROR(VLOOKUP(A41, 'Exercise Database'!A:J, 7, FALSE) * B41, "")</f>
        <v/>
      </c>
      <c r="I41" s="1" t="str">
        <f>IFERROR(VLOOKUP(A41, 'Exercise Database'!A:J, 8, FALSE) * B41, "")</f>
        <v/>
      </c>
      <c r="J41" s="1" t="str">
        <f>IFERROR(VLOOKUP(A41, 'Exercise Database'!A:J, 9, FALSE) * B41, "")</f>
        <v/>
      </c>
      <c r="K41" s="1" t="str">
        <f>IFERROR(VLOOKUP(A41, 'Exercise Database'!A:J, 10, FALSE) * B41, "")</f>
        <v/>
      </c>
    </row>
    <row r="42" spans="3:11" x14ac:dyDescent="0.3">
      <c r="C42" s="1" t="str">
        <f>IFERROR(VLOOKUP(A42, 'Exercise Database'!A:J, 2, FALSE) * B42, "")</f>
        <v/>
      </c>
      <c r="D42" s="1" t="str">
        <f>IFERROR(VLOOKUP(A42, 'Exercise Database'!A:J, 3, FALSE) * B42, "")</f>
        <v/>
      </c>
      <c r="E42" s="1" t="str">
        <f>IFERROR(VLOOKUP(A42, 'Exercise Database'!A:J, 4, FALSE) * B42, "")</f>
        <v/>
      </c>
      <c r="F42" s="1" t="str">
        <f>IFERROR(VLOOKUP(A42, 'Exercise Database'!A:J, 5, FALSE) * B42, "")</f>
        <v/>
      </c>
      <c r="G42" s="1" t="str">
        <f>IFERROR(VLOOKUP(A42, 'Exercise Database'!A:J, 6, FALSE) * B42, "")</f>
        <v/>
      </c>
      <c r="H42" s="1" t="str">
        <f>IFERROR(VLOOKUP(A42, 'Exercise Database'!A:J, 7, FALSE) * B42, "")</f>
        <v/>
      </c>
      <c r="I42" s="1" t="str">
        <f>IFERROR(VLOOKUP(A42, 'Exercise Database'!A:J, 8, FALSE) * B42, "")</f>
        <v/>
      </c>
      <c r="J42" s="1" t="str">
        <f>IFERROR(VLOOKUP(A42, 'Exercise Database'!A:J, 9, FALSE) * B42, "")</f>
        <v/>
      </c>
      <c r="K42" s="1" t="str">
        <f>IFERROR(VLOOKUP(A42, 'Exercise Database'!A:J, 10, FALSE) * B42, "")</f>
        <v/>
      </c>
    </row>
    <row r="43" spans="3:11" x14ac:dyDescent="0.3">
      <c r="C43" s="1" t="str">
        <f>IFERROR(VLOOKUP(A43, 'Exercise Database'!A:J, 2, FALSE) * B43, "")</f>
        <v/>
      </c>
      <c r="D43" s="1" t="str">
        <f>IFERROR(VLOOKUP(A43, 'Exercise Database'!A:J, 3, FALSE) * B43, "")</f>
        <v/>
      </c>
      <c r="E43" s="1" t="str">
        <f>IFERROR(VLOOKUP(A43, 'Exercise Database'!A:J, 4, FALSE) * B43, "")</f>
        <v/>
      </c>
      <c r="F43" s="1" t="str">
        <f>IFERROR(VLOOKUP(A43, 'Exercise Database'!A:J, 5, FALSE) * B43, "")</f>
        <v/>
      </c>
      <c r="G43" s="1" t="str">
        <f>IFERROR(VLOOKUP(A43, 'Exercise Database'!A:J, 6, FALSE) * B43, "")</f>
        <v/>
      </c>
      <c r="H43" s="1" t="str">
        <f>IFERROR(VLOOKUP(A43, 'Exercise Database'!A:J, 7, FALSE) * B43, "")</f>
        <v/>
      </c>
      <c r="I43" s="1" t="str">
        <f>IFERROR(VLOOKUP(A43, 'Exercise Database'!A:J, 8, FALSE) * B43, "")</f>
        <v/>
      </c>
      <c r="J43" s="1" t="str">
        <f>IFERROR(VLOOKUP(A43, 'Exercise Database'!A:J, 9, FALSE) * B43, "")</f>
        <v/>
      </c>
      <c r="K43" s="1" t="str">
        <f>IFERROR(VLOOKUP(A43, 'Exercise Database'!A:J, 10, FALSE) * B43, "")</f>
        <v/>
      </c>
    </row>
    <row r="44" spans="3:11" x14ac:dyDescent="0.3">
      <c r="C44" s="1" t="str">
        <f>IFERROR(VLOOKUP(A44, 'Exercise Database'!A:J, 2, FALSE) * B44, "")</f>
        <v/>
      </c>
      <c r="D44" s="1" t="str">
        <f>IFERROR(VLOOKUP(A44, 'Exercise Database'!A:J, 3, FALSE) * B44, "")</f>
        <v/>
      </c>
      <c r="E44" s="1" t="str">
        <f>IFERROR(VLOOKUP(A44, 'Exercise Database'!A:J, 4, FALSE) * B44, "")</f>
        <v/>
      </c>
      <c r="F44" s="1" t="str">
        <f>IFERROR(VLOOKUP(A44, 'Exercise Database'!A:J, 5, FALSE) * B44, "")</f>
        <v/>
      </c>
      <c r="G44" s="1" t="str">
        <f>IFERROR(VLOOKUP(A44, 'Exercise Database'!A:J, 6, FALSE) * B44, "")</f>
        <v/>
      </c>
      <c r="H44" s="1" t="str">
        <f>IFERROR(VLOOKUP(A44, 'Exercise Database'!A:J, 7, FALSE) * B44, "")</f>
        <v/>
      </c>
      <c r="I44" s="1" t="str">
        <f>IFERROR(VLOOKUP(A44, 'Exercise Database'!A:J, 8, FALSE) * B44, "")</f>
        <v/>
      </c>
      <c r="J44" s="1" t="str">
        <f>IFERROR(VLOOKUP(A44, 'Exercise Database'!A:J, 9, FALSE) * B44, "")</f>
        <v/>
      </c>
      <c r="K44" s="1" t="str">
        <f>IFERROR(VLOOKUP(A44, 'Exercise Database'!A:J, 10, FALSE) * B44, "")</f>
        <v/>
      </c>
    </row>
    <row r="45" spans="3:11" x14ac:dyDescent="0.3">
      <c r="C45" s="1" t="str">
        <f>IFERROR(VLOOKUP(A45, 'Exercise Database'!A:J, 2, FALSE) * B45, "")</f>
        <v/>
      </c>
      <c r="D45" s="1" t="str">
        <f>IFERROR(VLOOKUP(A45, 'Exercise Database'!A:J, 3, FALSE) * B45, "")</f>
        <v/>
      </c>
      <c r="E45" s="1" t="str">
        <f>IFERROR(VLOOKUP(A45, 'Exercise Database'!A:J, 4, FALSE) * B45, "")</f>
        <v/>
      </c>
      <c r="F45" s="1" t="str">
        <f>IFERROR(VLOOKUP(A45, 'Exercise Database'!A:J, 5, FALSE) * B45, "")</f>
        <v/>
      </c>
      <c r="G45" s="1" t="str">
        <f>IFERROR(VLOOKUP(A45, 'Exercise Database'!A:J, 6, FALSE) * B45, "")</f>
        <v/>
      </c>
      <c r="H45" s="1" t="str">
        <f>IFERROR(VLOOKUP(A45, 'Exercise Database'!A:J, 7, FALSE) * B45, "")</f>
        <v/>
      </c>
      <c r="I45" s="1" t="str">
        <f>IFERROR(VLOOKUP(A45, 'Exercise Database'!A:J, 8, FALSE) * B45, "")</f>
        <v/>
      </c>
      <c r="J45" s="1" t="str">
        <f>IFERROR(VLOOKUP(A45, 'Exercise Database'!A:J, 9, FALSE) * B45, "")</f>
        <v/>
      </c>
      <c r="K45" s="1" t="str">
        <f>IFERROR(VLOOKUP(A45, 'Exercise Database'!A:J, 10, FALSE) * B45, "")</f>
        <v/>
      </c>
    </row>
    <row r="46" spans="3:11" x14ac:dyDescent="0.3">
      <c r="C46" s="1" t="str">
        <f>IFERROR(VLOOKUP(A46, 'Exercise Database'!A:J, 2, FALSE) * B46, "")</f>
        <v/>
      </c>
      <c r="D46" s="1" t="str">
        <f>IFERROR(VLOOKUP(A46, 'Exercise Database'!A:J, 3, FALSE) * B46, "")</f>
        <v/>
      </c>
      <c r="E46" s="1" t="str">
        <f>IFERROR(VLOOKUP(A46, 'Exercise Database'!A:J, 4, FALSE) * B46, "")</f>
        <v/>
      </c>
      <c r="F46" s="1" t="str">
        <f>IFERROR(VLOOKUP(A46, 'Exercise Database'!A:J, 5, FALSE) * B46, "")</f>
        <v/>
      </c>
      <c r="G46" s="1" t="str">
        <f>IFERROR(VLOOKUP(A46, 'Exercise Database'!A:J, 6, FALSE) * B46, "")</f>
        <v/>
      </c>
      <c r="H46" s="1" t="str">
        <f>IFERROR(VLOOKUP(A46, 'Exercise Database'!A:J, 7, FALSE) * B46, "")</f>
        <v/>
      </c>
      <c r="I46" s="1" t="str">
        <f>IFERROR(VLOOKUP(A46, 'Exercise Database'!A:J, 8, FALSE) * B46, "")</f>
        <v/>
      </c>
      <c r="J46" s="1" t="str">
        <f>IFERROR(VLOOKUP(A46, 'Exercise Database'!A:J, 9, FALSE) * B46, "")</f>
        <v/>
      </c>
      <c r="K46" s="1" t="str">
        <f>IFERROR(VLOOKUP(A46, 'Exercise Database'!A:J, 10, FALSE) * B46, "")</f>
        <v/>
      </c>
    </row>
    <row r="47" spans="3:11" x14ac:dyDescent="0.3">
      <c r="C47" s="1" t="str">
        <f>IFERROR(VLOOKUP(A47, 'Exercise Database'!A:J, 2, FALSE) * B47, "")</f>
        <v/>
      </c>
      <c r="D47" s="1" t="str">
        <f>IFERROR(VLOOKUP(A47, 'Exercise Database'!A:J, 3, FALSE) * B47, "")</f>
        <v/>
      </c>
      <c r="E47" s="1" t="str">
        <f>IFERROR(VLOOKUP(A47, 'Exercise Database'!A:J, 4, FALSE) * B47, "")</f>
        <v/>
      </c>
      <c r="F47" s="1" t="str">
        <f>IFERROR(VLOOKUP(A47, 'Exercise Database'!A:J, 5, FALSE) * B47, "")</f>
        <v/>
      </c>
      <c r="G47" s="1" t="str">
        <f>IFERROR(VLOOKUP(A47, 'Exercise Database'!A:J, 6, FALSE) * B47, "")</f>
        <v/>
      </c>
      <c r="H47" s="1" t="str">
        <f>IFERROR(VLOOKUP(A47, 'Exercise Database'!A:J, 7, FALSE) * B47, "")</f>
        <v/>
      </c>
      <c r="I47" s="1" t="str">
        <f>IFERROR(VLOOKUP(A47, 'Exercise Database'!A:J, 8, FALSE) * B47, "")</f>
        <v/>
      </c>
      <c r="J47" s="1" t="str">
        <f>IFERROR(VLOOKUP(A47, 'Exercise Database'!A:J, 9, FALSE) * B47, "")</f>
        <v/>
      </c>
      <c r="K47" s="1" t="str">
        <f>IFERROR(VLOOKUP(A47, 'Exercise Database'!A:J, 10, FALSE) * B47, "")</f>
        <v/>
      </c>
    </row>
    <row r="48" spans="3:11" x14ac:dyDescent="0.3">
      <c r="C48" s="1" t="str">
        <f>IFERROR(VLOOKUP(A48, 'Exercise Database'!A:J, 2, FALSE) * B48, "")</f>
        <v/>
      </c>
      <c r="D48" s="1" t="str">
        <f>IFERROR(VLOOKUP(A48, 'Exercise Database'!A:J, 3, FALSE) * B48, "")</f>
        <v/>
      </c>
      <c r="E48" s="1" t="str">
        <f>IFERROR(VLOOKUP(A48, 'Exercise Database'!A:J, 4, FALSE) * B48, "")</f>
        <v/>
      </c>
      <c r="F48" s="1" t="str">
        <f>IFERROR(VLOOKUP(A48, 'Exercise Database'!A:J, 5, FALSE) * B48, "")</f>
        <v/>
      </c>
      <c r="G48" s="1" t="str">
        <f>IFERROR(VLOOKUP(A48, 'Exercise Database'!A:J, 6, FALSE) * B48, "")</f>
        <v/>
      </c>
      <c r="H48" s="1" t="str">
        <f>IFERROR(VLOOKUP(A48, 'Exercise Database'!A:J, 7, FALSE) * B48, "")</f>
        <v/>
      </c>
      <c r="I48" s="1" t="str">
        <f>IFERROR(VLOOKUP(A48, 'Exercise Database'!A:J, 8, FALSE) * B48, "")</f>
        <v/>
      </c>
      <c r="J48" s="1" t="str">
        <f>IFERROR(VLOOKUP(A48, 'Exercise Database'!A:J, 9, FALSE) * B48, "")</f>
        <v/>
      </c>
      <c r="K48" s="1" t="str">
        <f>IFERROR(VLOOKUP(A48, 'Exercise Database'!A:J, 10, FALSE) * B48, "")</f>
        <v/>
      </c>
    </row>
    <row r="49" spans="3:11" x14ac:dyDescent="0.3">
      <c r="C49" s="1" t="str">
        <f>IFERROR(VLOOKUP(A49, 'Exercise Database'!A:J, 2, FALSE) * B49, "")</f>
        <v/>
      </c>
      <c r="D49" s="1" t="str">
        <f>IFERROR(VLOOKUP(A49, 'Exercise Database'!A:J, 3, FALSE) * B49, "")</f>
        <v/>
      </c>
      <c r="E49" s="1" t="str">
        <f>IFERROR(VLOOKUP(A49, 'Exercise Database'!A:J, 4, FALSE) * B49, "")</f>
        <v/>
      </c>
      <c r="F49" s="1" t="str">
        <f>IFERROR(VLOOKUP(A49, 'Exercise Database'!A:J, 5, FALSE) * B49, "")</f>
        <v/>
      </c>
      <c r="G49" s="1" t="str">
        <f>IFERROR(VLOOKUP(A49, 'Exercise Database'!A:J, 6, FALSE) * B49, "")</f>
        <v/>
      </c>
      <c r="H49" s="1" t="str">
        <f>IFERROR(VLOOKUP(A49, 'Exercise Database'!A:J, 7, FALSE) * B49, "")</f>
        <v/>
      </c>
      <c r="I49" s="1" t="str">
        <f>IFERROR(VLOOKUP(A49, 'Exercise Database'!A:J, 8, FALSE) * B49, "")</f>
        <v/>
      </c>
      <c r="J49" s="1" t="str">
        <f>IFERROR(VLOOKUP(A49, 'Exercise Database'!A:J, 9, FALSE) * B49, "")</f>
        <v/>
      </c>
      <c r="K49" s="1" t="str">
        <f>IFERROR(VLOOKUP(A49, 'Exercise Database'!A:J, 10, FALSE) * B49, "")</f>
        <v/>
      </c>
    </row>
    <row r="50" spans="3:11" x14ac:dyDescent="0.3">
      <c r="C50" s="1" t="str">
        <f>IFERROR(VLOOKUP(A50, 'Exercise Database'!A:J, 2, FALSE) * B50, "")</f>
        <v/>
      </c>
      <c r="D50" s="1" t="str">
        <f>IFERROR(VLOOKUP(A50, 'Exercise Database'!A:J, 3, FALSE) * B50, "")</f>
        <v/>
      </c>
      <c r="E50" s="1" t="str">
        <f>IFERROR(VLOOKUP(A50, 'Exercise Database'!A:J, 4, FALSE) * B50, "")</f>
        <v/>
      </c>
      <c r="F50" s="1" t="str">
        <f>IFERROR(VLOOKUP(A50, 'Exercise Database'!A:J, 5, FALSE) * B50, "")</f>
        <v/>
      </c>
      <c r="G50" s="1" t="str">
        <f>IFERROR(VLOOKUP(A50, 'Exercise Database'!A:J, 6, FALSE) * B50, "")</f>
        <v/>
      </c>
      <c r="H50" s="1" t="str">
        <f>IFERROR(VLOOKUP(A50, 'Exercise Database'!A:J, 7, FALSE) * B50, "")</f>
        <v/>
      </c>
      <c r="I50" s="1" t="str">
        <f>IFERROR(VLOOKUP(A50, 'Exercise Database'!A:J, 8, FALSE) * B50, "")</f>
        <v/>
      </c>
      <c r="J50" s="1" t="str">
        <f>IFERROR(VLOOKUP(A50, 'Exercise Database'!A:J, 9, FALSE) * B50, "")</f>
        <v/>
      </c>
      <c r="K50" s="1" t="str">
        <f>IFERROR(VLOOKUP(A50, 'Exercise Database'!A:J, 10, FALSE) * B50, "")</f>
        <v/>
      </c>
    </row>
    <row r="51" spans="3:11" x14ac:dyDescent="0.3">
      <c r="C51" s="1" t="str">
        <f>IFERROR(VLOOKUP(A51, 'Exercise Database'!A:J, 2, FALSE) * B51, "")</f>
        <v/>
      </c>
      <c r="D51" s="1" t="str">
        <f>IFERROR(VLOOKUP(A51, 'Exercise Database'!A:J, 3, FALSE) * B51, "")</f>
        <v/>
      </c>
      <c r="E51" s="1" t="str">
        <f>IFERROR(VLOOKUP(A51, 'Exercise Database'!A:J, 4, FALSE) * B51, "")</f>
        <v/>
      </c>
      <c r="F51" s="1" t="str">
        <f>IFERROR(VLOOKUP(A51, 'Exercise Database'!A:J, 5, FALSE) * B51, "")</f>
        <v/>
      </c>
      <c r="G51" s="1" t="str">
        <f>IFERROR(VLOOKUP(A51, 'Exercise Database'!A:J, 6, FALSE) * B51, "")</f>
        <v/>
      </c>
      <c r="H51" s="1" t="str">
        <f>IFERROR(VLOOKUP(A51, 'Exercise Database'!A:J, 7, FALSE) * B51, "")</f>
        <v/>
      </c>
      <c r="I51" s="1" t="str">
        <f>IFERROR(VLOOKUP(A51, 'Exercise Database'!A:J, 8, FALSE) * B51, "")</f>
        <v/>
      </c>
      <c r="J51" s="1" t="str">
        <f>IFERROR(VLOOKUP(A51, 'Exercise Database'!A:J, 9, FALSE) * B51, "")</f>
        <v/>
      </c>
      <c r="K51" s="1" t="str">
        <f>IFERROR(VLOOKUP(A51, 'Exercise Database'!A:J, 10, FALSE) * B51, "")</f>
        <v/>
      </c>
    </row>
    <row r="52" spans="3:11" x14ac:dyDescent="0.3">
      <c r="C52" s="1" t="str">
        <f>IFERROR(VLOOKUP(A52, 'Exercise Database'!A:J, 2, FALSE) * B52, "")</f>
        <v/>
      </c>
      <c r="D52" s="1" t="str">
        <f>IFERROR(VLOOKUP(A52, 'Exercise Database'!A:J, 3, FALSE) * B52, "")</f>
        <v/>
      </c>
      <c r="E52" s="1" t="str">
        <f>IFERROR(VLOOKUP(A52, 'Exercise Database'!A:J, 4, FALSE) * B52, "")</f>
        <v/>
      </c>
      <c r="F52" s="1" t="str">
        <f>IFERROR(VLOOKUP(A52, 'Exercise Database'!A:J, 5, FALSE) * B52, "")</f>
        <v/>
      </c>
      <c r="G52" s="1" t="str">
        <f>IFERROR(VLOOKUP(A52, 'Exercise Database'!A:J, 6, FALSE) * B52, "")</f>
        <v/>
      </c>
      <c r="H52" s="1" t="str">
        <f>IFERROR(VLOOKUP(A52, 'Exercise Database'!A:J, 7, FALSE) * B52, "")</f>
        <v/>
      </c>
      <c r="I52" s="1" t="str">
        <f>IFERROR(VLOOKUP(A52, 'Exercise Database'!A:J, 8, FALSE) * B52, "")</f>
        <v/>
      </c>
      <c r="J52" s="1" t="str">
        <f>IFERROR(VLOOKUP(A52, 'Exercise Database'!A:J, 9, FALSE) * B52, "")</f>
        <v/>
      </c>
      <c r="K52" s="1" t="str">
        <f>IFERROR(VLOOKUP(A52, 'Exercise Database'!A:J, 10, FALSE) * B52, "")</f>
        <v/>
      </c>
    </row>
    <row r="53" spans="3:11" x14ac:dyDescent="0.3">
      <c r="C53" s="1" t="str">
        <f>IFERROR(VLOOKUP(A53, 'Exercise Database'!A:J, 2, FALSE) * B53, "")</f>
        <v/>
      </c>
      <c r="D53" s="1" t="str">
        <f>IFERROR(VLOOKUP(A53, 'Exercise Database'!A:J, 3, FALSE) * B53, "")</f>
        <v/>
      </c>
      <c r="E53" s="1" t="str">
        <f>IFERROR(VLOOKUP(A53, 'Exercise Database'!A:J, 4, FALSE) * B53, "")</f>
        <v/>
      </c>
      <c r="F53" s="1" t="str">
        <f>IFERROR(VLOOKUP(A53, 'Exercise Database'!A:J, 5, FALSE) * B53, "")</f>
        <v/>
      </c>
      <c r="G53" s="1" t="str">
        <f>IFERROR(VLOOKUP(A53, 'Exercise Database'!A:J, 6, FALSE) * B53, "")</f>
        <v/>
      </c>
      <c r="H53" s="1" t="str">
        <f>IFERROR(VLOOKUP(A53, 'Exercise Database'!A:J, 7, FALSE) * B53, "")</f>
        <v/>
      </c>
      <c r="I53" s="1" t="str">
        <f>IFERROR(VLOOKUP(A53, 'Exercise Database'!A:J, 8, FALSE) * B53, "")</f>
        <v/>
      </c>
      <c r="J53" s="1" t="str">
        <f>IFERROR(VLOOKUP(A53, 'Exercise Database'!A:J, 9, FALSE) * B53, "")</f>
        <v/>
      </c>
      <c r="K53" s="1" t="str">
        <f>IFERROR(VLOOKUP(A53, 'Exercise Database'!A:J, 10, FALSE) * B53, "")</f>
        <v/>
      </c>
    </row>
    <row r="54" spans="3:11" x14ac:dyDescent="0.3">
      <c r="C54" s="1" t="str">
        <f>IFERROR(VLOOKUP(A54, 'Exercise Database'!A:J, 2, FALSE) * B54, "")</f>
        <v/>
      </c>
      <c r="D54" s="1" t="str">
        <f>IFERROR(VLOOKUP(A54, 'Exercise Database'!A:J, 3, FALSE) * B54, "")</f>
        <v/>
      </c>
      <c r="E54" s="1" t="str">
        <f>IFERROR(VLOOKUP(A54, 'Exercise Database'!A:J, 4, FALSE) * B54, "")</f>
        <v/>
      </c>
      <c r="F54" s="1" t="str">
        <f>IFERROR(VLOOKUP(A54, 'Exercise Database'!A:J, 5, FALSE) * B54, "")</f>
        <v/>
      </c>
      <c r="G54" s="1" t="str">
        <f>IFERROR(VLOOKUP(A54, 'Exercise Database'!A:J, 6, FALSE) * B54, "")</f>
        <v/>
      </c>
      <c r="H54" s="1" t="str">
        <f>IFERROR(VLOOKUP(A54, 'Exercise Database'!A:J, 7, FALSE) * B54, "")</f>
        <v/>
      </c>
      <c r="I54" s="1" t="str">
        <f>IFERROR(VLOOKUP(A54, 'Exercise Database'!A:J, 8, FALSE) * B54, "")</f>
        <v/>
      </c>
      <c r="J54" s="1" t="str">
        <f>IFERROR(VLOOKUP(A54, 'Exercise Database'!A:J, 9, FALSE) * B54, "")</f>
        <v/>
      </c>
      <c r="K54" s="1" t="str">
        <f>IFERROR(VLOOKUP(A54, 'Exercise Database'!A:J, 10, FALSE) * B54, "")</f>
        <v/>
      </c>
    </row>
    <row r="55" spans="3:11" x14ac:dyDescent="0.3">
      <c r="C55" s="1" t="str">
        <f>IFERROR(VLOOKUP(A55, 'Exercise Database'!A:J, 2, FALSE) * B55, "")</f>
        <v/>
      </c>
      <c r="D55" s="1" t="str">
        <f>IFERROR(VLOOKUP(A55, 'Exercise Database'!A:J, 3, FALSE) * B55, "")</f>
        <v/>
      </c>
      <c r="E55" s="1" t="str">
        <f>IFERROR(VLOOKUP(A55, 'Exercise Database'!A:J, 4, FALSE) * B55, "")</f>
        <v/>
      </c>
      <c r="F55" s="1" t="str">
        <f>IFERROR(VLOOKUP(A55, 'Exercise Database'!A:J, 5, FALSE) * B55, "")</f>
        <v/>
      </c>
      <c r="G55" s="1" t="str">
        <f>IFERROR(VLOOKUP(A55, 'Exercise Database'!A:J, 6, FALSE) * B55, "")</f>
        <v/>
      </c>
      <c r="H55" s="1" t="str">
        <f>IFERROR(VLOOKUP(A55, 'Exercise Database'!A:J, 7, FALSE) * B55, "")</f>
        <v/>
      </c>
      <c r="I55" s="1" t="str">
        <f>IFERROR(VLOOKUP(A55, 'Exercise Database'!A:J, 8, FALSE) * B55, "")</f>
        <v/>
      </c>
      <c r="J55" s="1" t="str">
        <f>IFERROR(VLOOKUP(A55, 'Exercise Database'!A:J, 9, FALSE) * B55, "")</f>
        <v/>
      </c>
      <c r="K55" s="1" t="str">
        <f>IFERROR(VLOOKUP(A55, 'Exercise Database'!A:J, 10, FALSE) * B55, "")</f>
        <v/>
      </c>
    </row>
    <row r="56" spans="3:11" x14ac:dyDescent="0.3">
      <c r="C56" s="1" t="str">
        <f>IFERROR(VLOOKUP(A56, 'Exercise Database'!A:J, 2, FALSE) * B56, "")</f>
        <v/>
      </c>
      <c r="D56" s="1" t="str">
        <f>IFERROR(VLOOKUP(A56, 'Exercise Database'!A:J, 3, FALSE) * B56, "")</f>
        <v/>
      </c>
      <c r="E56" s="1" t="str">
        <f>IFERROR(VLOOKUP(A56, 'Exercise Database'!A:J, 4, FALSE) * B56, "")</f>
        <v/>
      </c>
      <c r="F56" s="1" t="str">
        <f>IFERROR(VLOOKUP(A56, 'Exercise Database'!A:J, 5, FALSE) * B56, "")</f>
        <v/>
      </c>
      <c r="G56" s="1" t="str">
        <f>IFERROR(VLOOKUP(A56, 'Exercise Database'!A:J, 6, FALSE) * B56, "")</f>
        <v/>
      </c>
      <c r="H56" s="1" t="str">
        <f>IFERROR(VLOOKUP(A56, 'Exercise Database'!A:J, 7, FALSE) * B56, "")</f>
        <v/>
      </c>
      <c r="I56" s="1" t="str">
        <f>IFERROR(VLOOKUP(A56, 'Exercise Database'!A:J, 8, FALSE) * B56, "")</f>
        <v/>
      </c>
      <c r="J56" s="1" t="str">
        <f>IFERROR(VLOOKUP(A56, 'Exercise Database'!A:J, 9, FALSE) * B56, "")</f>
        <v/>
      </c>
      <c r="K56" s="1" t="str">
        <f>IFERROR(VLOOKUP(A56, 'Exercise Database'!A:J, 10, FALSE) * B56, "")</f>
        <v/>
      </c>
    </row>
    <row r="57" spans="3:11" x14ac:dyDescent="0.3">
      <c r="C57" s="1" t="str">
        <f>IFERROR(VLOOKUP(A57, 'Exercise Database'!A:J, 2, FALSE) * B57, "")</f>
        <v/>
      </c>
      <c r="D57" s="1" t="str">
        <f>IFERROR(VLOOKUP(A57, 'Exercise Database'!A:J, 3, FALSE) * B57, "")</f>
        <v/>
      </c>
      <c r="E57" s="1" t="str">
        <f>IFERROR(VLOOKUP(A57, 'Exercise Database'!A:J, 4, FALSE) * B57, "")</f>
        <v/>
      </c>
      <c r="F57" s="1" t="str">
        <f>IFERROR(VLOOKUP(A57, 'Exercise Database'!A:J, 5, FALSE) * B57, "")</f>
        <v/>
      </c>
      <c r="G57" s="1" t="str">
        <f>IFERROR(VLOOKUP(A57, 'Exercise Database'!A:J, 6, FALSE) * B57, "")</f>
        <v/>
      </c>
      <c r="H57" s="1" t="str">
        <f>IFERROR(VLOOKUP(A57, 'Exercise Database'!A:J, 7, FALSE) * B57, "")</f>
        <v/>
      </c>
      <c r="I57" s="1" t="str">
        <f>IFERROR(VLOOKUP(A57, 'Exercise Database'!A:J, 8, FALSE) * B57, "")</f>
        <v/>
      </c>
      <c r="J57" s="1" t="str">
        <f>IFERROR(VLOOKUP(A57, 'Exercise Database'!A:J, 9, FALSE) * B57, "")</f>
        <v/>
      </c>
      <c r="K57" s="1" t="str">
        <f>IFERROR(VLOOKUP(A57, 'Exercise Database'!A:J, 10, FALSE) * B57, "")</f>
        <v/>
      </c>
    </row>
    <row r="58" spans="3:11" x14ac:dyDescent="0.3">
      <c r="C58" s="1" t="str">
        <f>IFERROR(VLOOKUP(A58, 'Exercise Database'!A:J, 2, FALSE) * B58, "")</f>
        <v/>
      </c>
      <c r="D58" s="1" t="str">
        <f>IFERROR(VLOOKUP(A58, 'Exercise Database'!A:J, 3, FALSE) * B58, "")</f>
        <v/>
      </c>
      <c r="E58" s="1" t="str">
        <f>IFERROR(VLOOKUP(A58, 'Exercise Database'!A:J, 4, FALSE) * B58, "")</f>
        <v/>
      </c>
      <c r="F58" s="1" t="str">
        <f>IFERROR(VLOOKUP(A58, 'Exercise Database'!A:J, 5, FALSE) * B58, "")</f>
        <v/>
      </c>
      <c r="G58" s="1" t="str">
        <f>IFERROR(VLOOKUP(A58, 'Exercise Database'!A:J, 6, FALSE) * B58, "")</f>
        <v/>
      </c>
      <c r="H58" s="1" t="str">
        <f>IFERROR(VLOOKUP(A58, 'Exercise Database'!A:J, 7, FALSE) * B58, "")</f>
        <v/>
      </c>
      <c r="I58" s="1" t="str">
        <f>IFERROR(VLOOKUP(A58, 'Exercise Database'!A:J, 8, FALSE) * B58, "")</f>
        <v/>
      </c>
      <c r="J58" s="1" t="str">
        <f>IFERROR(VLOOKUP(A58, 'Exercise Database'!A:J, 9, FALSE) * B58, "")</f>
        <v/>
      </c>
      <c r="K58" s="1" t="str">
        <f>IFERROR(VLOOKUP(A58, 'Exercise Database'!A:J, 10, FALSE) * B58, "")</f>
        <v/>
      </c>
    </row>
    <row r="59" spans="3:11" x14ac:dyDescent="0.3">
      <c r="C59" s="1" t="str">
        <f>IFERROR(VLOOKUP(A59, 'Exercise Database'!A:J, 2, FALSE) * B59, "")</f>
        <v/>
      </c>
      <c r="D59" s="1" t="str">
        <f>IFERROR(VLOOKUP(A59, 'Exercise Database'!A:J, 3, FALSE) * B59, "")</f>
        <v/>
      </c>
      <c r="E59" s="1" t="str">
        <f>IFERROR(VLOOKUP(A59, 'Exercise Database'!A:J, 4, FALSE) * B59, "")</f>
        <v/>
      </c>
      <c r="F59" s="1" t="str">
        <f>IFERROR(VLOOKUP(A59, 'Exercise Database'!A:J, 5, FALSE) * B59, "")</f>
        <v/>
      </c>
      <c r="G59" s="1" t="str">
        <f>IFERROR(VLOOKUP(A59, 'Exercise Database'!A:J, 6, FALSE) * B59, "")</f>
        <v/>
      </c>
      <c r="H59" s="1" t="str">
        <f>IFERROR(VLOOKUP(A59, 'Exercise Database'!A:J, 7, FALSE) * B59, "")</f>
        <v/>
      </c>
      <c r="I59" s="1" t="str">
        <f>IFERROR(VLOOKUP(A59, 'Exercise Database'!A:J, 8, FALSE) * B59, "")</f>
        <v/>
      </c>
      <c r="J59" s="1" t="str">
        <f>IFERROR(VLOOKUP(A59, 'Exercise Database'!A:J, 9, FALSE) * B59, "")</f>
        <v/>
      </c>
      <c r="K59" s="1" t="str">
        <f>IFERROR(VLOOKUP(A59, 'Exercise Database'!A:J, 10, FALSE) * B59, "")</f>
        <v/>
      </c>
    </row>
    <row r="60" spans="3:11" x14ac:dyDescent="0.3">
      <c r="C60" s="1" t="str">
        <f>IFERROR(VLOOKUP(A60, 'Exercise Database'!A:J, 2, FALSE) * B60, "")</f>
        <v/>
      </c>
      <c r="D60" s="1" t="str">
        <f>IFERROR(VLOOKUP(A60, 'Exercise Database'!A:J, 3, FALSE) * B60, "")</f>
        <v/>
      </c>
      <c r="E60" s="1" t="str">
        <f>IFERROR(VLOOKUP(A60, 'Exercise Database'!A:J, 4, FALSE) * B60, "")</f>
        <v/>
      </c>
      <c r="F60" s="1" t="str">
        <f>IFERROR(VLOOKUP(A60, 'Exercise Database'!A:J, 5, FALSE) * B60, "")</f>
        <v/>
      </c>
      <c r="G60" s="1" t="str">
        <f>IFERROR(VLOOKUP(A60, 'Exercise Database'!A:J, 6, FALSE) * B60, "")</f>
        <v/>
      </c>
      <c r="H60" s="1" t="str">
        <f>IFERROR(VLOOKUP(A60, 'Exercise Database'!A:J, 7, FALSE) * B60, "")</f>
        <v/>
      </c>
      <c r="I60" s="1" t="str">
        <f>IFERROR(VLOOKUP(A60, 'Exercise Database'!A:J, 8, FALSE) * B60, "")</f>
        <v/>
      </c>
      <c r="J60" s="1" t="str">
        <f>IFERROR(VLOOKUP(A60, 'Exercise Database'!A:J, 9, FALSE) * B60, "")</f>
        <v/>
      </c>
      <c r="K60" s="1" t="str">
        <f>IFERROR(VLOOKUP(A60, 'Exercise Database'!A:J, 10, FALSE) * B60, "")</f>
        <v/>
      </c>
    </row>
    <row r="61" spans="3:11" x14ac:dyDescent="0.3">
      <c r="C61" s="1" t="str">
        <f>IFERROR(VLOOKUP(A61, 'Exercise Database'!A:J, 2, FALSE) * B61, "")</f>
        <v/>
      </c>
      <c r="D61" s="1" t="str">
        <f>IFERROR(VLOOKUP(A61, 'Exercise Database'!A:J, 3, FALSE) * B61, "")</f>
        <v/>
      </c>
      <c r="E61" s="1" t="str">
        <f>IFERROR(VLOOKUP(A61, 'Exercise Database'!A:J, 4, FALSE) * B61, "")</f>
        <v/>
      </c>
      <c r="F61" s="1" t="str">
        <f>IFERROR(VLOOKUP(A61, 'Exercise Database'!A:J, 5, FALSE) * B61, "")</f>
        <v/>
      </c>
      <c r="G61" s="1" t="str">
        <f>IFERROR(VLOOKUP(A61, 'Exercise Database'!A:J, 6, FALSE) * B61, "")</f>
        <v/>
      </c>
      <c r="H61" s="1" t="str">
        <f>IFERROR(VLOOKUP(A61, 'Exercise Database'!A:J, 7, FALSE) * B61, "")</f>
        <v/>
      </c>
      <c r="I61" s="1" t="str">
        <f>IFERROR(VLOOKUP(A61, 'Exercise Database'!A:J, 8, FALSE) * B61, "")</f>
        <v/>
      </c>
      <c r="J61" s="1" t="str">
        <f>IFERROR(VLOOKUP(A61, 'Exercise Database'!A:J, 9, FALSE) * B61, "")</f>
        <v/>
      </c>
      <c r="K61" s="1" t="str">
        <f>IFERROR(VLOOKUP(A61, 'Exercise Database'!A:J, 10, FALSE) * B61, "")</f>
        <v/>
      </c>
    </row>
    <row r="62" spans="3:11" x14ac:dyDescent="0.3">
      <c r="C62" s="1" t="str">
        <f>IFERROR(VLOOKUP(A62, 'Exercise Database'!A:J, 2, FALSE) * B62, "")</f>
        <v/>
      </c>
      <c r="D62" s="1" t="str">
        <f>IFERROR(VLOOKUP(A62, 'Exercise Database'!A:J, 3, FALSE) * B62, "")</f>
        <v/>
      </c>
      <c r="E62" s="1" t="str">
        <f>IFERROR(VLOOKUP(A62, 'Exercise Database'!A:J, 4, FALSE) * B62, "")</f>
        <v/>
      </c>
      <c r="F62" s="1" t="str">
        <f>IFERROR(VLOOKUP(A62, 'Exercise Database'!A:J, 5, FALSE) * B62, "")</f>
        <v/>
      </c>
      <c r="G62" s="1" t="str">
        <f>IFERROR(VLOOKUP(A62, 'Exercise Database'!A:J, 6, FALSE) * B62, "")</f>
        <v/>
      </c>
      <c r="H62" s="1" t="str">
        <f>IFERROR(VLOOKUP(A62, 'Exercise Database'!A:J, 7, FALSE) * B62, "")</f>
        <v/>
      </c>
      <c r="I62" s="1" t="str">
        <f>IFERROR(VLOOKUP(A62, 'Exercise Database'!A:J, 8, FALSE) * B62, "")</f>
        <v/>
      </c>
      <c r="J62" s="1" t="str">
        <f>IFERROR(VLOOKUP(A62, 'Exercise Database'!A:J, 9, FALSE) * B62, "")</f>
        <v/>
      </c>
      <c r="K62" s="1" t="str">
        <f>IFERROR(VLOOKUP(A62, 'Exercise Database'!A:J, 10, FALSE) * B62, "")</f>
        <v/>
      </c>
    </row>
    <row r="63" spans="3:11" x14ac:dyDescent="0.3">
      <c r="C63" s="1" t="str">
        <f>IFERROR(VLOOKUP(A63, 'Exercise Database'!A:J, 2, FALSE) * B63, "")</f>
        <v/>
      </c>
      <c r="D63" s="1" t="str">
        <f>IFERROR(VLOOKUP(A63, 'Exercise Database'!A:J, 3, FALSE) * B63, "")</f>
        <v/>
      </c>
      <c r="E63" s="1" t="str">
        <f>IFERROR(VLOOKUP(A63, 'Exercise Database'!A:J, 4, FALSE) * B63, "")</f>
        <v/>
      </c>
      <c r="F63" s="1" t="str">
        <f>IFERROR(VLOOKUP(A63, 'Exercise Database'!A:J, 5, FALSE) * B63, "")</f>
        <v/>
      </c>
      <c r="G63" s="1" t="str">
        <f>IFERROR(VLOOKUP(A63, 'Exercise Database'!A:J, 6, FALSE) * B63, "")</f>
        <v/>
      </c>
      <c r="H63" s="1" t="str">
        <f>IFERROR(VLOOKUP(A63, 'Exercise Database'!A:J, 7, FALSE) * B63, "")</f>
        <v/>
      </c>
      <c r="I63" s="1" t="str">
        <f>IFERROR(VLOOKUP(A63, 'Exercise Database'!A:J, 8, FALSE) * B63, "")</f>
        <v/>
      </c>
      <c r="J63" s="1" t="str">
        <f>IFERROR(VLOOKUP(A63, 'Exercise Database'!A:J, 9, FALSE) * B63, "")</f>
        <v/>
      </c>
      <c r="K63" s="1" t="str">
        <f>IFERROR(VLOOKUP(A63, 'Exercise Database'!A:J, 10, FALSE) * B63, "")</f>
        <v/>
      </c>
    </row>
    <row r="64" spans="3:11" x14ac:dyDescent="0.3">
      <c r="C64" s="1" t="str">
        <f>IFERROR(VLOOKUP(A64, 'Exercise Database'!A:J, 2, FALSE) * B64, "")</f>
        <v/>
      </c>
      <c r="D64" s="1" t="str">
        <f>IFERROR(VLOOKUP(A64, 'Exercise Database'!A:J, 3, FALSE) * B64, "")</f>
        <v/>
      </c>
      <c r="E64" s="1" t="str">
        <f>IFERROR(VLOOKUP(A64, 'Exercise Database'!A:J, 4, FALSE) * B64, "")</f>
        <v/>
      </c>
      <c r="F64" s="1" t="str">
        <f>IFERROR(VLOOKUP(A64, 'Exercise Database'!A:J, 5, FALSE) * B64, "")</f>
        <v/>
      </c>
      <c r="G64" s="1" t="str">
        <f>IFERROR(VLOOKUP(A64, 'Exercise Database'!A:J, 6, FALSE) * B64, "")</f>
        <v/>
      </c>
      <c r="H64" s="1" t="str">
        <f>IFERROR(VLOOKUP(A64, 'Exercise Database'!A:J, 7, FALSE) * B64, "")</f>
        <v/>
      </c>
      <c r="I64" s="1" t="str">
        <f>IFERROR(VLOOKUP(A64, 'Exercise Database'!A:J, 8, FALSE) * B64, "")</f>
        <v/>
      </c>
      <c r="J64" s="1" t="str">
        <f>IFERROR(VLOOKUP(A64, 'Exercise Database'!A:J, 9, FALSE) * B64, "")</f>
        <v/>
      </c>
      <c r="K64" s="1" t="str">
        <f>IFERROR(VLOOKUP(A64, 'Exercise Database'!A:J, 10, FALSE) * B64, "")</f>
        <v/>
      </c>
    </row>
    <row r="65" spans="3:11" x14ac:dyDescent="0.3">
      <c r="C65" s="1" t="str">
        <f>IFERROR(VLOOKUP(A65, 'Exercise Database'!A:J, 2, FALSE) * B65, "")</f>
        <v/>
      </c>
      <c r="D65" s="1" t="str">
        <f>IFERROR(VLOOKUP(A65, 'Exercise Database'!A:J, 3, FALSE) * B65, "")</f>
        <v/>
      </c>
      <c r="E65" s="1" t="str">
        <f>IFERROR(VLOOKUP(A65, 'Exercise Database'!A:J, 4, FALSE) * B65, "")</f>
        <v/>
      </c>
      <c r="F65" s="1" t="str">
        <f>IFERROR(VLOOKUP(A65, 'Exercise Database'!A:J, 5, FALSE) * B65, "")</f>
        <v/>
      </c>
      <c r="G65" s="1" t="str">
        <f>IFERROR(VLOOKUP(A65, 'Exercise Database'!A:J, 6, FALSE) * B65, "")</f>
        <v/>
      </c>
      <c r="H65" s="1" t="str">
        <f>IFERROR(VLOOKUP(A65, 'Exercise Database'!A:J, 7, FALSE) * B65, "")</f>
        <v/>
      </c>
      <c r="I65" s="1" t="str">
        <f>IFERROR(VLOOKUP(A65, 'Exercise Database'!A:J, 8, FALSE) * B65, "")</f>
        <v/>
      </c>
      <c r="J65" s="1" t="str">
        <f>IFERROR(VLOOKUP(A65, 'Exercise Database'!A:J, 9, FALSE) * B65, "")</f>
        <v/>
      </c>
      <c r="K65" s="1" t="str">
        <f>IFERROR(VLOOKUP(A65, 'Exercise Database'!A:J, 10, FALSE) * B65, "")</f>
        <v/>
      </c>
    </row>
    <row r="66" spans="3:11" x14ac:dyDescent="0.3">
      <c r="C66" s="1" t="str">
        <f>IFERROR(VLOOKUP(A66, 'Exercise Database'!A:J, 2, FALSE) * B66, "")</f>
        <v/>
      </c>
      <c r="D66" s="1" t="str">
        <f>IFERROR(VLOOKUP(A66, 'Exercise Database'!A:J, 3, FALSE) * B66, "")</f>
        <v/>
      </c>
      <c r="E66" s="1" t="str">
        <f>IFERROR(VLOOKUP(A66, 'Exercise Database'!A:J, 4, FALSE) * B66, "")</f>
        <v/>
      </c>
      <c r="F66" s="1" t="str">
        <f>IFERROR(VLOOKUP(A66, 'Exercise Database'!A:J, 5, FALSE) * B66, "")</f>
        <v/>
      </c>
      <c r="G66" s="1" t="str">
        <f>IFERROR(VLOOKUP(A66, 'Exercise Database'!A:J, 6, FALSE) * B66, "")</f>
        <v/>
      </c>
      <c r="H66" s="1" t="str">
        <f>IFERROR(VLOOKUP(A66, 'Exercise Database'!A:J, 7, FALSE) * B66, "")</f>
        <v/>
      </c>
      <c r="I66" s="1" t="str">
        <f>IFERROR(VLOOKUP(A66, 'Exercise Database'!A:J, 8, FALSE) * B66, "")</f>
        <v/>
      </c>
      <c r="J66" s="1" t="str">
        <f>IFERROR(VLOOKUP(A66, 'Exercise Database'!A:J, 9, FALSE) * B66, "")</f>
        <v/>
      </c>
      <c r="K66" s="1" t="str">
        <f>IFERROR(VLOOKUP(A66, 'Exercise Database'!A:J, 10, FALSE) * B66, "")</f>
        <v/>
      </c>
    </row>
    <row r="67" spans="3:11" x14ac:dyDescent="0.3">
      <c r="C67" s="1" t="str">
        <f>IFERROR(VLOOKUP(A67, 'Exercise Database'!A:J, 2, FALSE) * B67, "")</f>
        <v/>
      </c>
      <c r="D67" s="1" t="str">
        <f>IFERROR(VLOOKUP(A67, 'Exercise Database'!A:J, 3, FALSE) * B67, "")</f>
        <v/>
      </c>
      <c r="E67" s="1" t="str">
        <f>IFERROR(VLOOKUP(A67, 'Exercise Database'!A:J, 4, FALSE) * B67, "")</f>
        <v/>
      </c>
      <c r="F67" s="1" t="str">
        <f>IFERROR(VLOOKUP(A67, 'Exercise Database'!A:J, 5, FALSE) * B67, "")</f>
        <v/>
      </c>
      <c r="G67" s="1" t="str">
        <f>IFERROR(VLOOKUP(A67, 'Exercise Database'!A:J, 6, FALSE) * B67, "")</f>
        <v/>
      </c>
      <c r="H67" s="1" t="str">
        <f>IFERROR(VLOOKUP(A67, 'Exercise Database'!A:J, 7, FALSE) * B67, "")</f>
        <v/>
      </c>
      <c r="I67" s="1" t="str">
        <f>IFERROR(VLOOKUP(A67, 'Exercise Database'!A:J, 8, FALSE) * B67, "")</f>
        <v/>
      </c>
      <c r="J67" s="1" t="str">
        <f>IFERROR(VLOOKUP(A67, 'Exercise Database'!A:J, 9, FALSE) * B67, "")</f>
        <v/>
      </c>
      <c r="K67" s="1" t="str">
        <f>IFERROR(VLOOKUP(A67, 'Exercise Database'!A:J, 10, FALSE) * B67, "")</f>
        <v/>
      </c>
    </row>
    <row r="68" spans="3:11" x14ac:dyDescent="0.3">
      <c r="C68" s="1" t="str">
        <f>IFERROR(VLOOKUP(A68, 'Exercise Database'!A:J, 2, FALSE) * B68, "")</f>
        <v/>
      </c>
      <c r="D68" s="1" t="str">
        <f>IFERROR(VLOOKUP(A68, 'Exercise Database'!A:J, 3, FALSE) * B68, "")</f>
        <v/>
      </c>
      <c r="E68" s="1" t="str">
        <f>IFERROR(VLOOKUP(A68, 'Exercise Database'!A:J, 4, FALSE) * B68, "")</f>
        <v/>
      </c>
      <c r="F68" s="1" t="str">
        <f>IFERROR(VLOOKUP(A68, 'Exercise Database'!A:J, 5, FALSE) * B68, "")</f>
        <v/>
      </c>
      <c r="G68" s="1" t="str">
        <f>IFERROR(VLOOKUP(A68, 'Exercise Database'!A:J, 6, FALSE) * B68, "")</f>
        <v/>
      </c>
      <c r="H68" s="1" t="str">
        <f>IFERROR(VLOOKUP(A68, 'Exercise Database'!A:J, 7, FALSE) * B68, "")</f>
        <v/>
      </c>
      <c r="I68" s="1" t="str">
        <f>IFERROR(VLOOKUP(A68, 'Exercise Database'!A:J, 8, FALSE) * B68, "")</f>
        <v/>
      </c>
      <c r="J68" s="1" t="str">
        <f>IFERROR(VLOOKUP(A68, 'Exercise Database'!A:J, 9, FALSE) * B68, "")</f>
        <v/>
      </c>
      <c r="K68" s="1" t="str">
        <f>IFERROR(VLOOKUP(A68, 'Exercise Database'!A:J, 10, FALSE) * B68, "")</f>
        <v/>
      </c>
    </row>
    <row r="69" spans="3:11" x14ac:dyDescent="0.3">
      <c r="C69" s="1" t="str">
        <f>IFERROR(VLOOKUP(A69, 'Exercise Database'!A:J, 2, FALSE) * B69, "")</f>
        <v/>
      </c>
      <c r="D69" s="1" t="str">
        <f>IFERROR(VLOOKUP(A69, 'Exercise Database'!A:J, 3, FALSE) * B69, "")</f>
        <v/>
      </c>
      <c r="E69" s="1" t="str">
        <f>IFERROR(VLOOKUP(A69, 'Exercise Database'!A:J, 4, FALSE) * B69, "")</f>
        <v/>
      </c>
      <c r="F69" s="1" t="str">
        <f>IFERROR(VLOOKUP(A69, 'Exercise Database'!A:J, 5, FALSE) * B69, "")</f>
        <v/>
      </c>
      <c r="G69" s="1" t="str">
        <f>IFERROR(VLOOKUP(A69, 'Exercise Database'!A:J, 6, FALSE) * B69, "")</f>
        <v/>
      </c>
      <c r="H69" s="1" t="str">
        <f>IFERROR(VLOOKUP(A69, 'Exercise Database'!A:J, 7, FALSE) * B69, "")</f>
        <v/>
      </c>
      <c r="I69" s="1" t="str">
        <f>IFERROR(VLOOKUP(A69, 'Exercise Database'!A:J, 8, FALSE) * B69, "")</f>
        <v/>
      </c>
      <c r="J69" s="1" t="str">
        <f>IFERROR(VLOOKUP(A69, 'Exercise Database'!A:J, 9, FALSE) * B69, "")</f>
        <v/>
      </c>
      <c r="K69" s="1" t="str">
        <f>IFERROR(VLOOKUP(A69, 'Exercise Database'!A:J, 10, FALSE) * B69, "")</f>
        <v/>
      </c>
    </row>
    <row r="70" spans="3:11" x14ac:dyDescent="0.3">
      <c r="C70" s="1" t="str">
        <f>IFERROR(VLOOKUP(A70, 'Exercise Database'!A:J, 2, FALSE) * B70, "")</f>
        <v/>
      </c>
      <c r="D70" s="1" t="str">
        <f>IFERROR(VLOOKUP(A70, 'Exercise Database'!A:J, 3, FALSE) * B70, "")</f>
        <v/>
      </c>
      <c r="E70" s="1" t="str">
        <f>IFERROR(VLOOKUP(A70, 'Exercise Database'!A:J, 4, FALSE) * B70, "")</f>
        <v/>
      </c>
      <c r="F70" s="1" t="str">
        <f>IFERROR(VLOOKUP(A70, 'Exercise Database'!A:J, 5, FALSE) * B70, "")</f>
        <v/>
      </c>
      <c r="G70" s="1" t="str">
        <f>IFERROR(VLOOKUP(A70, 'Exercise Database'!A:J, 6, FALSE) * B70, "")</f>
        <v/>
      </c>
      <c r="H70" s="1" t="str">
        <f>IFERROR(VLOOKUP(A70, 'Exercise Database'!A:J, 7, FALSE) * B70, "")</f>
        <v/>
      </c>
      <c r="I70" s="1" t="str">
        <f>IFERROR(VLOOKUP(A70, 'Exercise Database'!A:J, 8, FALSE) * B70, "")</f>
        <v/>
      </c>
      <c r="J70" s="1" t="str">
        <f>IFERROR(VLOOKUP(A70, 'Exercise Database'!A:J, 9, FALSE) * B70, "")</f>
        <v/>
      </c>
      <c r="K70" s="1" t="str">
        <f>IFERROR(VLOOKUP(A70, 'Exercise Database'!A:J, 10, FALSE) * B70, "")</f>
        <v/>
      </c>
    </row>
    <row r="71" spans="3:11" x14ac:dyDescent="0.3">
      <c r="C71" s="1" t="str">
        <f>IFERROR(VLOOKUP(A71, 'Exercise Database'!A:J, 2, FALSE) * B71, "")</f>
        <v/>
      </c>
      <c r="D71" s="1" t="str">
        <f>IFERROR(VLOOKUP(A71, 'Exercise Database'!A:J, 3, FALSE) * B71, "")</f>
        <v/>
      </c>
      <c r="E71" s="1" t="str">
        <f>IFERROR(VLOOKUP(A71, 'Exercise Database'!A:J, 4, FALSE) * B71, "")</f>
        <v/>
      </c>
      <c r="F71" s="1" t="str">
        <f>IFERROR(VLOOKUP(A71, 'Exercise Database'!A:J, 5, FALSE) * B71, "")</f>
        <v/>
      </c>
      <c r="G71" s="1" t="str">
        <f>IFERROR(VLOOKUP(A71, 'Exercise Database'!A:J, 6, FALSE) * B71, "")</f>
        <v/>
      </c>
      <c r="H71" s="1" t="str">
        <f>IFERROR(VLOOKUP(A71, 'Exercise Database'!A:J, 7, FALSE) * B71, "")</f>
        <v/>
      </c>
      <c r="I71" s="1" t="str">
        <f>IFERROR(VLOOKUP(A71, 'Exercise Database'!A:J, 8, FALSE) * B71, "")</f>
        <v/>
      </c>
      <c r="J71" s="1" t="str">
        <f>IFERROR(VLOOKUP(A71, 'Exercise Database'!A:J, 9, FALSE) * B71, "")</f>
        <v/>
      </c>
      <c r="K71" s="1" t="str">
        <f>IFERROR(VLOOKUP(A71, 'Exercise Database'!A:J, 10, FALSE) * B71, "")</f>
        <v/>
      </c>
    </row>
    <row r="72" spans="3:11" x14ac:dyDescent="0.3">
      <c r="C72" s="1" t="str">
        <f>IFERROR(VLOOKUP(A72, 'Exercise Database'!A:J, 2, FALSE) * B72, "")</f>
        <v/>
      </c>
      <c r="D72" s="1" t="str">
        <f>IFERROR(VLOOKUP(A72, 'Exercise Database'!A:J, 3, FALSE) * B72, "")</f>
        <v/>
      </c>
      <c r="E72" s="1" t="str">
        <f>IFERROR(VLOOKUP(A72, 'Exercise Database'!A:J, 4, FALSE) * B72, "")</f>
        <v/>
      </c>
      <c r="F72" s="1" t="str">
        <f>IFERROR(VLOOKUP(A72, 'Exercise Database'!A:J, 5, FALSE) * B72, "")</f>
        <v/>
      </c>
      <c r="G72" s="1" t="str">
        <f>IFERROR(VLOOKUP(A72, 'Exercise Database'!A:J, 6, FALSE) * B72, "")</f>
        <v/>
      </c>
      <c r="H72" s="1" t="str">
        <f>IFERROR(VLOOKUP(A72, 'Exercise Database'!A:J, 7, FALSE) * B72, "")</f>
        <v/>
      </c>
      <c r="I72" s="1" t="str">
        <f>IFERROR(VLOOKUP(A72, 'Exercise Database'!A:J, 8, FALSE) * B72, "")</f>
        <v/>
      </c>
      <c r="J72" s="1" t="str">
        <f>IFERROR(VLOOKUP(A72, 'Exercise Database'!A:J, 9, FALSE) * B72, "")</f>
        <v/>
      </c>
      <c r="K72" s="1" t="str">
        <f>IFERROR(VLOOKUP(A72, 'Exercise Database'!A:J, 10, FALSE) * B72, "")</f>
        <v/>
      </c>
    </row>
    <row r="73" spans="3:11" x14ac:dyDescent="0.3">
      <c r="C73" s="1" t="str">
        <f>IFERROR(VLOOKUP(A73, 'Exercise Database'!A:J, 2, FALSE) * B73, "")</f>
        <v/>
      </c>
      <c r="D73" s="1" t="str">
        <f>IFERROR(VLOOKUP(A73, 'Exercise Database'!A:J, 3, FALSE) * B73, "")</f>
        <v/>
      </c>
      <c r="E73" s="1" t="str">
        <f>IFERROR(VLOOKUP(A73, 'Exercise Database'!A:J, 4, FALSE) * B73, "")</f>
        <v/>
      </c>
      <c r="F73" s="1" t="str">
        <f>IFERROR(VLOOKUP(A73, 'Exercise Database'!A:J, 5, FALSE) * B73, "")</f>
        <v/>
      </c>
      <c r="G73" s="1" t="str">
        <f>IFERROR(VLOOKUP(A73, 'Exercise Database'!A:J, 6, FALSE) * B73, "")</f>
        <v/>
      </c>
      <c r="H73" s="1" t="str">
        <f>IFERROR(VLOOKUP(A73, 'Exercise Database'!A:J, 7, FALSE) * B73, "")</f>
        <v/>
      </c>
      <c r="I73" s="1" t="str">
        <f>IFERROR(VLOOKUP(A73, 'Exercise Database'!A:J, 8, FALSE) * B73, "")</f>
        <v/>
      </c>
      <c r="J73" s="1" t="str">
        <f>IFERROR(VLOOKUP(A73, 'Exercise Database'!A:J, 9, FALSE) * B73, "")</f>
        <v/>
      </c>
      <c r="K73" s="1" t="str">
        <f>IFERROR(VLOOKUP(A73, 'Exercise Database'!A:J, 10, FALSE) * B73, "")</f>
        <v/>
      </c>
    </row>
    <row r="74" spans="3:11" x14ac:dyDescent="0.3">
      <c r="C74" s="1" t="str">
        <f>IFERROR(VLOOKUP(A74, 'Exercise Database'!A:J, 2, FALSE) * B74, "")</f>
        <v/>
      </c>
      <c r="D74" s="1" t="str">
        <f>IFERROR(VLOOKUP(A74, 'Exercise Database'!A:J, 3, FALSE) * B74, "")</f>
        <v/>
      </c>
      <c r="E74" s="1" t="str">
        <f>IFERROR(VLOOKUP(A74, 'Exercise Database'!A:J, 4, FALSE) * B74, "")</f>
        <v/>
      </c>
      <c r="F74" s="1" t="str">
        <f>IFERROR(VLOOKUP(A74, 'Exercise Database'!A:J, 5, FALSE) * B74, "")</f>
        <v/>
      </c>
      <c r="G74" s="1" t="str">
        <f>IFERROR(VLOOKUP(A74, 'Exercise Database'!A:J, 6, FALSE) * B74, "")</f>
        <v/>
      </c>
      <c r="H74" s="1" t="str">
        <f>IFERROR(VLOOKUP(A74, 'Exercise Database'!A:J, 7, FALSE) * B74, "")</f>
        <v/>
      </c>
      <c r="I74" s="1" t="str">
        <f>IFERROR(VLOOKUP(A74, 'Exercise Database'!A:J, 8, FALSE) * B74, "")</f>
        <v/>
      </c>
      <c r="J74" s="1" t="str">
        <f>IFERROR(VLOOKUP(A74, 'Exercise Database'!A:J, 9, FALSE) * B74, "")</f>
        <v/>
      </c>
      <c r="K74" s="1" t="str">
        <f>IFERROR(VLOOKUP(A74, 'Exercise Database'!A:J, 10, FALSE) * B74, "")</f>
        <v/>
      </c>
    </row>
    <row r="75" spans="3:11" x14ac:dyDescent="0.3">
      <c r="C75" s="1" t="str">
        <f>IFERROR(VLOOKUP(A75, 'Exercise Database'!A:J, 2, FALSE) * B75, "")</f>
        <v/>
      </c>
      <c r="D75" s="1" t="str">
        <f>IFERROR(VLOOKUP(A75, 'Exercise Database'!A:J, 3, FALSE) * B75, "")</f>
        <v/>
      </c>
      <c r="E75" s="1" t="str">
        <f>IFERROR(VLOOKUP(A75, 'Exercise Database'!A:J, 4, FALSE) * B75, "")</f>
        <v/>
      </c>
      <c r="F75" s="1" t="str">
        <f>IFERROR(VLOOKUP(A75, 'Exercise Database'!A:J, 5, FALSE) * B75, "")</f>
        <v/>
      </c>
      <c r="G75" s="1" t="str">
        <f>IFERROR(VLOOKUP(A75, 'Exercise Database'!A:J, 6, FALSE) * B75, "")</f>
        <v/>
      </c>
      <c r="H75" s="1" t="str">
        <f>IFERROR(VLOOKUP(A75, 'Exercise Database'!A:J, 7, FALSE) * B75, "")</f>
        <v/>
      </c>
      <c r="I75" s="1" t="str">
        <f>IFERROR(VLOOKUP(A75, 'Exercise Database'!A:J, 8, FALSE) * B75, "")</f>
        <v/>
      </c>
      <c r="J75" s="1" t="str">
        <f>IFERROR(VLOOKUP(A75, 'Exercise Database'!A:J, 9, FALSE) * B75, "")</f>
        <v/>
      </c>
      <c r="K75" s="1" t="str">
        <f>IFERROR(VLOOKUP(A75, 'Exercise Database'!A:J, 10, FALSE) * B75, "")</f>
        <v/>
      </c>
    </row>
    <row r="76" spans="3:11" x14ac:dyDescent="0.3">
      <c r="C76" s="1" t="str">
        <f>IFERROR(VLOOKUP(A76, 'Exercise Database'!A:J, 2, FALSE) * B76, "")</f>
        <v/>
      </c>
      <c r="D76" s="1" t="str">
        <f>IFERROR(VLOOKUP(A76, 'Exercise Database'!A:J, 3, FALSE) * B76, "")</f>
        <v/>
      </c>
      <c r="E76" s="1" t="str">
        <f>IFERROR(VLOOKUP(A76, 'Exercise Database'!A:J, 4, FALSE) * B76, "")</f>
        <v/>
      </c>
      <c r="F76" s="1" t="str">
        <f>IFERROR(VLOOKUP(A76, 'Exercise Database'!A:J, 5, FALSE) * B76, "")</f>
        <v/>
      </c>
      <c r="G76" s="1" t="str">
        <f>IFERROR(VLOOKUP(A76, 'Exercise Database'!A:J, 6, FALSE) * B76, "")</f>
        <v/>
      </c>
      <c r="H76" s="1" t="str">
        <f>IFERROR(VLOOKUP(A76, 'Exercise Database'!A:J, 7, FALSE) * B76, "")</f>
        <v/>
      </c>
      <c r="I76" s="1" t="str">
        <f>IFERROR(VLOOKUP(A76, 'Exercise Database'!A:J, 8, FALSE) * B76, "")</f>
        <v/>
      </c>
      <c r="J76" s="1" t="str">
        <f>IFERROR(VLOOKUP(A76, 'Exercise Database'!A:J, 9, FALSE) * B76, "")</f>
        <v/>
      </c>
      <c r="K76" s="1" t="str">
        <f>IFERROR(VLOOKUP(A76, 'Exercise Database'!A:J, 10, FALSE) * B76, "")</f>
        <v/>
      </c>
    </row>
    <row r="77" spans="3:11" x14ac:dyDescent="0.3">
      <c r="C77" s="1" t="str">
        <f>IFERROR(VLOOKUP(A77, 'Exercise Database'!A:J, 2, FALSE) * B77, "")</f>
        <v/>
      </c>
      <c r="D77" s="1" t="str">
        <f>IFERROR(VLOOKUP(A77, 'Exercise Database'!A:J, 3, FALSE) * B77, "")</f>
        <v/>
      </c>
      <c r="E77" s="1" t="str">
        <f>IFERROR(VLOOKUP(A77, 'Exercise Database'!A:J, 4, FALSE) * B77, "")</f>
        <v/>
      </c>
      <c r="F77" s="1" t="str">
        <f>IFERROR(VLOOKUP(A77, 'Exercise Database'!A:J, 5, FALSE) * B77, "")</f>
        <v/>
      </c>
      <c r="G77" s="1" t="str">
        <f>IFERROR(VLOOKUP(A77, 'Exercise Database'!A:J, 6, FALSE) * B77, "")</f>
        <v/>
      </c>
      <c r="H77" s="1" t="str">
        <f>IFERROR(VLOOKUP(A77, 'Exercise Database'!A:J, 7, FALSE) * B77, "")</f>
        <v/>
      </c>
      <c r="I77" s="1" t="str">
        <f>IFERROR(VLOOKUP(A77, 'Exercise Database'!A:J, 8, FALSE) * B77, "")</f>
        <v/>
      </c>
      <c r="J77" s="1" t="str">
        <f>IFERROR(VLOOKUP(A77, 'Exercise Database'!A:J, 9, FALSE) * B77, "")</f>
        <v/>
      </c>
      <c r="K77" s="1" t="str">
        <f>IFERROR(VLOOKUP(A77, 'Exercise Database'!A:J, 10, FALSE) * B77, "")</f>
        <v/>
      </c>
    </row>
    <row r="78" spans="3:11" x14ac:dyDescent="0.3">
      <c r="C78" s="1" t="str">
        <f>IFERROR(VLOOKUP(A78, 'Exercise Database'!A:J, 2, FALSE) * B78, "")</f>
        <v/>
      </c>
      <c r="D78" s="1" t="str">
        <f>IFERROR(VLOOKUP(A78, 'Exercise Database'!A:J, 3, FALSE) * B78, "")</f>
        <v/>
      </c>
      <c r="E78" s="1" t="str">
        <f>IFERROR(VLOOKUP(A78, 'Exercise Database'!A:J, 4, FALSE) * B78, "")</f>
        <v/>
      </c>
      <c r="F78" s="1" t="str">
        <f>IFERROR(VLOOKUP(A78, 'Exercise Database'!A:J, 5, FALSE) * B78, "")</f>
        <v/>
      </c>
      <c r="G78" s="1" t="str">
        <f>IFERROR(VLOOKUP(A78, 'Exercise Database'!A:J, 6, FALSE) * B78, "")</f>
        <v/>
      </c>
      <c r="H78" s="1" t="str">
        <f>IFERROR(VLOOKUP(A78, 'Exercise Database'!A:J, 7, FALSE) * B78, "")</f>
        <v/>
      </c>
      <c r="I78" s="1" t="str">
        <f>IFERROR(VLOOKUP(A78, 'Exercise Database'!A:J, 8, FALSE) * B78, "")</f>
        <v/>
      </c>
      <c r="J78" s="1" t="str">
        <f>IFERROR(VLOOKUP(A78, 'Exercise Database'!A:J, 9, FALSE) * B78, "")</f>
        <v/>
      </c>
      <c r="K78" s="1" t="str">
        <f>IFERROR(VLOOKUP(A78, 'Exercise Database'!A:J, 10, FALSE) * B78, "")</f>
        <v/>
      </c>
    </row>
    <row r="79" spans="3:11" x14ac:dyDescent="0.3">
      <c r="C79" s="1" t="str">
        <f>IFERROR(VLOOKUP(A79, 'Exercise Database'!A:J, 2, FALSE) * B79, "")</f>
        <v/>
      </c>
      <c r="D79" s="1" t="str">
        <f>IFERROR(VLOOKUP(A79, 'Exercise Database'!A:J, 3, FALSE) * B79, "")</f>
        <v/>
      </c>
      <c r="E79" s="1" t="str">
        <f>IFERROR(VLOOKUP(A79, 'Exercise Database'!A:J, 4, FALSE) * B79, "")</f>
        <v/>
      </c>
      <c r="F79" s="1" t="str">
        <f>IFERROR(VLOOKUP(A79, 'Exercise Database'!A:J, 5, FALSE) * B79, "")</f>
        <v/>
      </c>
      <c r="G79" s="1" t="str">
        <f>IFERROR(VLOOKUP(A79, 'Exercise Database'!A:J, 6, FALSE) * B79, "")</f>
        <v/>
      </c>
      <c r="H79" s="1" t="str">
        <f>IFERROR(VLOOKUP(A79, 'Exercise Database'!A:J, 7, FALSE) * B79, "")</f>
        <v/>
      </c>
      <c r="I79" s="1" t="str">
        <f>IFERROR(VLOOKUP(A79, 'Exercise Database'!A:J, 8, FALSE) * B79, "")</f>
        <v/>
      </c>
      <c r="J79" s="1" t="str">
        <f>IFERROR(VLOOKUP(A79, 'Exercise Database'!A:J, 9, FALSE) * B79, "")</f>
        <v/>
      </c>
      <c r="K79" s="1" t="str">
        <f>IFERROR(VLOOKUP(A79, 'Exercise Database'!A:J, 10, FALSE) * B79, "")</f>
        <v/>
      </c>
    </row>
    <row r="80" spans="3:11" x14ac:dyDescent="0.3">
      <c r="C80" s="1" t="str">
        <f>IFERROR(VLOOKUP(A80, 'Exercise Database'!A:J, 2, FALSE) * B80, "")</f>
        <v/>
      </c>
      <c r="D80" s="1" t="str">
        <f>IFERROR(VLOOKUP(A80, 'Exercise Database'!A:J, 3, FALSE) * B80, "")</f>
        <v/>
      </c>
      <c r="E80" s="1" t="str">
        <f>IFERROR(VLOOKUP(A80, 'Exercise Database'!A:J, 4, FALSE) * B80, "")</f>
        <v/>
      </c>
      <c r="F80" s="1" t="str">
        <f>IFERROR(VLOOKUP(A80, 'Exercise Database'!A:J, 5, FALSE) * B80, "")</f>
        <v/>
      </c>
      <c r="G80" s="1" t="str">
        <f>IFERROR(VLOOKUP(A80, 'Exercise Database'!A:J, 6, FALSE) * B80, "")</f>
        <v/>
      </c>
      <c r="H80" s="1" t="str">
        <f>IFERROR(VLOOKUP(A80, 'Exercise Database'!A:J, 7, FALSE) * B80, "")</f>
        <v/>
      </c>
      <c r="I80" s="1" t="str">
        <f>IFERROR(VLOOKUP(A80, 'Exercise Database'!A:J, 8, FALSE) * B80, "")</f>
        <v/>
      </c>
      <c r="J80" s="1" t="str">
        <f>IFERROR(VLOOKUP(A80, 'Exercise Database'!A:J, 9, FALSE) * B80, "")</f>
        <v/>
      </c>
      <c r="K80" s="1" t="str">
        <f>IFERROR(VLOOKUP(A80, 'Exercise Database'!A:J, 10, FALSE) * B80, "")</f>
        <v/>
      </c>
    </row>
    <row r="81" spans="3:11" x14ac:dyDescent="0.3">
      <c r="C81" s="1" t="str">
        <f>IFERROR(VLOOKUP(A81, 'Exercise Database'!A:J, 2, FALSE) * B81, "")</f>
        <v/>
      </c>
      <c r="D81" s="1" t="str">
        <f>IFERROR(VLOOKUP(A81, 'Exercise Database'!A:J, 3, FALSE) * B81, "")</f>
        <v/>
      </c>
      <c r="E81" s="1" t="str">
        <f>IFERROR(VLOOKUP(A81, 'Exercise Database'!A:J, 4, FALSE) * B81, "")</f>
        <v/>
      </c>
      <c r="F81" s="1" t="str">
        <f>IFERROR(VLOOKUP(A81, 'Exercise Database'!A:J, 5, FALSE) * B81, "")</f>
        <v/>
      </c>
      <c r="G81" s="1" t="str">
        <f>IFERROR(VLOOKUP(A81, 'Exercise Database'!A:J, 6, FALSE) * B81, "")</f>
        <v/>
      </c>
      <c r="H81" s="1" t="str">
        <f>IFERROR(VLOOKUP(A81, 'Exercise Database'!A:J, 7, FALSE) * B81, "")</f>
        <v/>
      </c>
      <c r="I81" s="1" t="str">
        <f>IFERROR(VLOOKUP(A81, 'Exercise Database'!A:J, 8, FALSE) * B81, "")</f>
        <v/>
      </c>
      <c r="J81" s="1" t="str">
        <f>IFERROR(VLOOKUP(A81, 'Exercise Database'!A:J, 9, FALSE) * B81, "")</f>
        <v/>
      </c>
      <c r="K81" s="1" t="str">
        <f>IFERROR(VLOOKUP(A81, 'Exercise Database'!A:J, 10, FALSE) * B81, "")</f>
        <v/>
      </c>
    </row>
    <row r="82" spans="3:11" x14ac:dyDescent="0.3">
      <c r="C82" s="1" t="str">
        <f>IFERROR(VLOOKUP(A82, 'Exercise Database'!A:J, 2, FALSE) * B82, "")</f>
        <v/>
      </c>
      <c r="D82" s="1" t="str">
        <f>IFERROR(VLOOKUP(A82, 'Exercise Database'!A:J, 3, FALSE) * B82, "")</f>
        <v/>
      </c>
      <c r="E82" s="1" t="str">
        <f>IFERROR(VLOOKUP(A82, 'Exercise Database'!A:J, 4, FALSE) * B82, "")</f>
        <v/>
      </c>
      <c r="F82" s="1" t="str">
        <f>IFERROR(VLOOKUP(A82, 'Exercise Database'!A:J, 5, FALSE) * B82, "")</f>
        <v/>
      </c>
      <c r="G82" s="1" t="str">
        <f>IFERROR(VLOOKUP(A82, 'Exercise Database'!A:J, 6, FALSE) * B82, "")</f>
        <v/>
      </c>
      <c r="H82" s="1" t="str">
        <f>IFERROR(VLOOKUP(A82, 'Exercise Database'!A:J, 7, FALSE) * B82, "")</f>
        <v/>
      </c>
      <c r="I82" s="1" t="str">
        <f>IFERROR(VLOOKUP(A82, 'Exercise Database'!A:J, 8, FALSE) * B82, "")</f>
        <v/>
      </c>
      <c r="J82" s="1" t="str">
        <f>IFERROR(VLOOKUP(A82, 'Exercise Database'!A:J, 9, FALSE) * B82, "")</f>
        <v/>
      </c>
      <c r="K82" s="1" t="str">
        <f>IFERROR(VLOOKUP(A82, 'Exercise Database'!A:J, 10, FALSE) * B82, "")</f>
        <v/>
      </c>
    </row>
    <row r="83" spans="3:11" x14ac:dyDescent="0.3">
      <c r="C83" s="1" t="str">
        <f>IFERROR(VLOOKUP(A83, 'Exercise Database'!A:J, 2, FALSE) * B83, "")</f>
        <v/>
      </c>
      <c r="D83" s="1" t="str">
        <f>IFERROR(VLOOKUP(A83, 'Exercise Database'!A:J, 3, FALSE) * B83, "")</f>
        <v/>
      </c>
      <c r="E83" s="1" t="str">
        <f>IFERROR(VLOOKUP(A83, 'Exercise Database'!A:J, 4, FALSE) * B83, "")</f>
        <v/>
      </c>
      <c r="F83" s="1" t="str">
        <f>IFERROR(VLOOKUP(A83, 'Exercise Database'!A:J, 5, FALSE) * B83, "")</f>
        <v/>
      </c>
      <c r="G83" s="1" t="str">
        <f>IFERROR(VLOOKUP(A83, 'Exercise Database'!A:J, 6, FALSE) * B83, "")</f>
        <v/>
      </c>
      <c r="H83" s="1" t="str">
        <f>IFERROR(VLOOKUP(A83, 'Exercise Database'!A:J, 7, FALSE) * B83, "")</f>
        <v/>
      </c>
      <c r="I83" s="1" t="str">
        <f>IFERROR(VLOOKUP(A83, 'Exercise Database'!A:J, 8, FALSE) * B83, "")</f>
        <v/>
      </c>
      <c r="J83" s="1" t="str">
        <f>IFERROR(VLOOKUP(A83, 'Exercise Database'!A:J, 9, FALSE) * B83, "")</f>
        <v/>
      </c>
      <c r="K83" s="1" t="str">
        <f>IFERROR(VLOOKUP(A83, 'Exercise Database'!A:J, 10, FALSE) * B83, "")</f>
        <v/>
      </c>
    </row>
    <row r="84" spans="3:11" x14ac:dyDescent="0.3">
      <c r="C84" s="1" t="str">
        <f>IFERROR(VLOOKUP(A84, 'Exercise Database'!A:J, 2, FALSE) * B84, "")</f>
        <v/>
      </c>
      <c r="D84" s="1" t="str">
        <f>IFERROR(VLOOKUP(A84, 'Exercise Database'!A:J, 3, FALSE) * B84, "")</f>
        <v/>
      </c>
      <c r="E84" s="1" t="str">
        <f>IFERROR(VLOOKUP(A84, 'Exercise Database'!A:J, 4, FALSE) * B84, "")</f>
        <v/>
      </c>
      <c r="F84" s="1" t="str">
        <f>IFERROR(VLOOKUP(A84, 'Exercise Database'!A:J, 5, FALSE) * B84, "")</f>
        <v/>
      </c>
      <c r="G84" s="1" t="str">
        <f>IFERROR(VLOOKUP(A84, 'Exercise Database'!A:J, 6, FALSE) * B84, "")</f>
        <v/>
      </c>
      <c r="H84" s="1" t="str">
        <f>IFERROR(VLOOKUP(A84, 'Exercise Database'!A:J, 7, FALSE) * B84, "")</f>
        <v/>
      </c>
      <c r="I84" s="1" t="str">
        <f>IFERROR(VLOOKUP(A84, 'Exercise Database'!A:J, 8, FALSE) * B84, "")</f>
        <v/>
      </c>
      <c r="J84" s="1" t="str">
        <f>IFERROR(VLOOKUP(A84, 'Exercise Database'!A:J, 9, FALSE) * B84, "")</f>
        <v/>
      </c>
      <c r="K84" s="1" t="str">
        <f>IFERROR(VLOOKUP(A84, 'Exercise Database'!A:J, 10, FALSE) * B84, "")</f>
        <v/>
      </c>
    </row>
    <row r="85" spans="3:11" x14ac:dyDescent="0.3">
      <c r="C85" s="1" t="str">
        <f>IFERROR(VLOOKUP(A85, 'Exercise Database'!A:J, 2, FALSE) * B85, "")</f>
        <v/>
      </c>
      <c r="D85" s="1" t="str">
        <f>IFERROR(VLOOKUP(A85, 'Exercise Database'!A:J, 3, FALSE) * B85, "")</f>
        <v/>
      </c>
      <c r="E85" s="1" t="str">
        <f>IFERROR(VLOOKUP(A85, 'Exercise Database'!A:J, 4, FALSE) * B85, "")</f>
        <v/>
      </c>
      <c r="F85" s="1" t="str">
        <f>IFERROR(VLOOKUP(A85, 'Exercise Database'!A:J, 5, FALSE) * B85, "")</f>
        <v/>
      </c>
      <c r="G85" s="1" t="str">
        <f>IFERROR(VLOOKUP(A85, 'Exercise Database'!A:J, 6, FALSE) * B85, "")</f>
        <v/>
      </c>
      <c r="H85" s="1" t="str">
        <f>IFERROR(VLOOKUP(A85, 'Exercise Database'!A:J, 7, FALSE) * B85, "")</f>
        <v/>
      </c>
      <c r="I85" s="1" t="str">
        <f>IFERROR(VLOOKUP(A85, 'Exercise Database'!A:J, 8, FALSE) * B85, "")</f>
        <v/>
      </c>
      <c r="J85" s="1" t="str">
        <f>IFERROR(VLOOKUP(A85, 'Exercise Database'!A:J, 9, FALSE) * B85, "")</f>
        <v/>
      </c>
      <c r="K85" s="1" t="str">
        <f>IFERROR(VLOOKUP(A85, 'Exercise Database'!A:J, 10, FALSE) * B85, "")</f>
        <v/>
      </c>
    </row>
    <row r="86" spans="3:11" x14ac:dyDescent="0.3">
      <c r="C86" s="1" t="str">
        <f>IFERROR(VLOOKUP(A86, 'Exercise Database'!A:J, 2, FALSE) * B86, "")</f>
        <v/>
      </c>
      <c r="D86" s="1" t="str">
        <f>IFERROR(VLOOKUP(A86, 'Exercise Database'!A:J, 3, FALSE) * B86, "")</f>
        <v/>
      </c>
      <c r="E86" s="1" t="str">
        <f>IFERROR(VLOOKUP(A86, 'Exercise Database'!A:J, 4, FALSE) * B86, "")</f>
        <v/>
      </c>
      <c r="F86" s="1" t="str">
        <f>IFERROR(VLOOKUP(A86, 'Exercise Database'!A:J, 5, FALSE) * B86, "")</f>
        <v/>
      </c>
      <c r="G86" s="1" t="str">
        <f>IFERROR(VLOOKUP(A86, 'Exercise Database'!A:J, 6, FALSE) * B86, "")</f>
        <v/>
      </c>
      <c r="H86" s="1" t="str">
        <f>IFERROR(VLOOKUP(A86, 'Exercise Database'!A:J, 7, FALSE) * B86, "")</f>
        <v/>
      </c>
      <c r="I86" s="1" t="str">
        <f>IFERROR(VLOOKUP(A86, 'Exercise Database'!A:J, 8, FALSE) * B86, "")</f>
        <v/>
      </c>
      <c r="J86" s="1" t="str">
        <f>IFERROR(VLOOKUP(A86, 'Exercise Database'!A:J, 9, FALSE) * B86, "")</f>
        <v/>
      </c>
      <c r="K86" s="1" t="str">
        <f>IFERROR(VLOOKUP(A86, 'Exercise Database'!A:J, 10, FALSE) * B86, "")</f>
        <v/>
      </c>
    </row>
    <row r="87" spans="3:11" x14ac:dyDescent="0.3">
      <c r="C87" s="1" t="str">
        <f>IFERROR(VLOOKUP(A87, 'Exercise Database'!A:J, 2, FALSE) * B87, "")</f>
        <v/>
      </c>
      <c r="D87" s="1" t="str">
        <f>IFERROR(VLOOKUP(A87, 'Exercise Database'!A:J, 3, FALSE) * B87, "")</f>
        <v/>
      </c>
      <c r="E87" s="1" t="str">
        <f>IFERROR(VLOOKUP(A87, 'Exercise Database'!A:J, 4, FALSE) * B87, "")</f>
        <v/>
      </c>
      <c r="F87" s="1" t="str">
        <f>IFERROR(VLOOKUP(A87, 'Exercise Database'!A:J, 5, FALSE) * B87, "")</f>
        <v/>
      </c>
      <c r="G87" s="1" t="str">
        <f>IFERROR(VLOOKUP(A87, 'Exercise Database'!A:J, 6, FALSE) * B87, "")</f>
        <v/>
      </c>
      <c r="H87" s="1" t="str">
        <f>IFERROR(VLOOKUP(A87, 'Exercise Database'!A:J, 7, FALSE) * B87, "")</f>
        <v/>
      </c>
      <c r="I87" s="1" t="str">
        <f>IFERROR(VLOOKUP(A87, 'Exercise Database'!A:J, 8, FALSE) * B87, "")</f>
        <v/>
      </c>
      <c r="J87" s="1" t="str">
        <f>IFERROR(VLOOKUP(A87, 'Exercise Database'!A:J, 9, FALSE) * B87, "")</f>
        <v/>
      </c>
      <c r="K87" s="1" t="str">
        <f>IFERROR(VLOOKUP(A87, 'Exercise Database'!A:J, 10, FALSE) * B87, "")</f>
        <v/>
      </c>
    </row>
    <row r="88" spans="3:11" x14ac:dyDescent="0.3">
      <c r="C88" s="1" t="str">
        <f>IFERROR(VLOOKUP(A88, 'Exercise Database'!A:J, 2, FALSE) * B88, "")</f>
        <v/>
      </c>
      <c r="D88" s="1" t="str">
        <f>IFERROR(VLOOKUP(A88, 'Exercise Database'!A:J, 3, FALSE) * B88, "")</f>
        <v/>
      </c>
      <c r="E88" s="1" t="str">
        <f>IFERROR(VLOOKUP(A88, 'Exercise Database'!A:J, 4, FALSE) * B88, "")</f>
        <v/>
      </c>
      <c r="F88" s="1" t="str">
        <f>IFERROR(VLOOKUP(A88, 'Exercise Database'!A:J, 5, FALSE) * B88, "")</f>
        <v/>
      </c>
      <c r="G88" s="1" t="str">
        <f>IFERROR(VLOOKUP(A88, 'Exercise Database'!A:J, 6, FALSE) * B88, "")</f>
        <v/>
      </c>
      <c r="H88" s="1" t="str">
        <f>IFERROR(VLOOKUP(A88, 'Exercise Database'!A:J, 7, FALSE) * B88, "")</f>
        <v/>
      </c>
      <c r="I88" s="1" t="str">
        <f>IFERROR(VLOOKUP(A88, 'Exercise Database'!A:J, 8, FALSE) * B88, "")</f>
        <v/>
      </c>
      <c r="J88" s="1" t="str">
        <f>IFERROR(VLOOKUP(A88, 'Exercise Database'!A:J, 9, FALSE) * B88, "")</f>
        <v/>
      </c>
      <c r="K88" s="1" t="str">
        <f>IFERROR(VLOOKUP(A88, 'Exercise Database'!A:J, 10, FALSE) * B88, "")</f>
        <v/>
      </c>
    </row>
    <row r="89" spans="3:11" x14ac:dyDescent="0.3">
      <c r="C89" s="1" t="str">
        <f>IFERROR(VLOOKUP(A89, 'Exercise Database'!A:J, 2, FALSE) * B89, "")</f>
        <v/>
      </c>
      <c r="D89" s="1" t="str">
        <f>IFERROR(VLOOKUP(A89, 'Exercise Database'!A:J, 3, FALSE) * B89, "")</f>
        <v/>
      </c>
      <c r="E89" s="1" t="str">
        <f>IFERROR(VLOOKUP(A89, 'Exercise Database'!A:J, 4, FALSE) * B89, "")</f>
        <v/>
      </c>
      <c r="F89" s="1" t="str">
        <f>IFERROR(VLOOKUP(A89, 'Exercise Database'!A:J, 5, FALSE) * B89, "")</f>
        <v/>
      </c>
      <c r="G89" s="1" t="str">
        <f>IFERROR(VLOOKUP(A89, 'Exercise Database'!A:J, 6, FALSE) * B89, "")</f>
        <v/>
      </c>
      <c r="H89" s="1" t="str">
        <f>IFERROR(VLOOKUP(A89, 'Exercise Database'!A:J, 7, FALSE) * B89, "")</f>
        <v/>
      </c>
      <c r="I89" s="1" t="str">
        <f>IFERROR(VLOOKUP(A89, 'Exercise Database'!A:J, 8, FALSE) * B89, "")</f>
        <v/>
      </c>
      <c r="J89" s="1" t="str">
        <f>IFERROR(VLOOKUP(A89, 'Exercise Database'!A:J, 9, FALSE) * B89, "")</f>
        <v/>
      </c>
      <c r="K89" s="1" t="str">
        <f>IFERROR(VLOOKUP(A89, 'Exercise Database'!A:J, 10, FALSE) * B89, "")</f>
        <v/>
      </c>
    </row>
    <row r="90" spans="3:11" x14ac:dyDescent="0.3">
      <c r="C90" s="1" t="str">
        <f>IFERROR(VLOOKUP(A90, 'Exercise Database'!A:J, 2, FALSE) * B90, "")</f>
        <v/>
      </c>
      <c r="D90" s="1" t="str">
        <f>IFERROR(VLOOKUP(A90, 'Exercise Database'!A:J, 3, FALSE) * B90, "")</f>
        <v/>
      </c>
      <c r="E90" s="1" t="str">
        <f>IFERROR(VLOOKUP(A90, 'Exercise Database'!A:J, 4, FALSE) * B90, "")</f>
        <v/>
      </c>
      <c r="F90" s="1" t="str">
        <f>IFERROR(VLOOKUP(A90, 'Exercise Database'!A:J, 5, FALSE) * B90, "")</f>
        <v/>
      </c>
      <c r="G90" s="1" t="str">
        <f>IFERROR(VLOOKUP(A90, 'Exercise Database'!A:J, 6, FALSE) * B90, "")</f>
        <v/>
      </c>
      <c r="H90" s="1" t="str">
        <f>IFERROR(VLOOKUP(A90, 'Exercise Database'!A:J, 7, FALSE) * B90, "")</f>
        <v/>
      </c>
      <c r="I90" s="1" t="str">
        <f>IFERROR(VLOOKUP(A90, 'Exercise Database'!A:J, 8, FALSE) * B90, "")</f>
        <v/>
      </c>
      <c r="J90" s="1" t="str">
        <f>IFERROR(VLOOKUP(A90, 'Exercise Database'!A:J, 9, FALSE) * B90, "")</f>
        <v/>
      </c>
      <c r="K90" s="1" t="str">
        <f>IFERROR(VLOOKUP(A90, 'Exercise Database'!A:J, 10, FALSE) * B90, "")</f>
        <v/>
      </c>
    </row>
    <row r="91" spans="3:11" x14ac:dyDescent="0.3">
      <c r="C91" s="1" t="str">
        <f>IFERROR(VLOOKUP(A91, 'Exercise Database'!A:J, 2, FALSE) * B91, "")</f>
        <v/>
      </c>
      <c r="D91" s="1" t="str">
        <f>IFERROR(VLOOKUP(A91, 'Exercise Database'!A:J, 3, FALSE) * B91, "")</f>
        <v/>
      </c>
      <c r="E91" s="1" t="str">
        <f>IFERROR(VLOOKUP(A91, 'Exercise Database'!A:J, 4, FALSE) * B91, "")</f>
        <v/>
      </c>
      <c r="F91" s="1" t="str">
        <f>IFERROR(VLOOKUP(A91, 'Exercise Database'!A:J, 5, FALSE) * B91, "")</f>
        <v/>
      </c>
      <c r="G91" s="1" t="str">
        <f>IFERROR(VLOOKUP(A91, 'Exercise Database'!A:J, 6, FALSE) * B91, "")</f>
        <v/>
      </c>
      <c r="H91" s="1" t="str">
        <f>IFERROR(VLOOKUP(A91, 'Exercise Database'!A:J, 7, FALSE) * B91, "")</f>
        <v/>
      </c>
      <c r="I91" s="1" t="str">
        <f>IFERROR(VLOOKUP(A91, 'Exercise Database'!A:J, 8, FALSE) * B91, "")</f>
        <v/>
      </c>
      <c r="J91" s="1" t="str">
        <f>IFERROR(VLOOKUP(A91, 'Exercise Database'!A:J, 9, FALSE) * B91, "")</f>
        <v/>
      </c>
      <c r="K91" s="1" t="str">
        <f>IFERROR(VLOOKUP(A91, 'Exercise Database'!A:J, 10, FALSE) * B91, "")</f>
        <v/>
      </c>
    </row>
    <row r="92" spans="3:11" x14ac:dyDescent="0.3">
      <c r="C92" s="1" t="str">
        <f>IFERROR(VLOOKUP(A92, 'Exercise Database'!A:J, 2, FALSE) * B92, "")</f>
        <v/>
      </c>
      <c r="D92" s="1" t="str">
        <f>IFERROR(VLOOKUP(A92, 'Exercise Database'!A:J, 3, FALSE) * B92, "")</f>
        <v/>
      </c>
      <c r="E92" s="1" t="str">
        <f>IFERROR(VLOOKUP(A92, 'Exercise Database'!A:J, 4, FALSE) * B92, "")</f>
        <v/>
      </c>
      <c r="F92" s="1" t="str">
        <f>IFERROR(VLOOKUP(A92, 'Exercise Database'!A:J, 5, FALSE) * B92, "")</f>
        <v/>
      </c>
      <c r="G92" s="1" t="str">
        <f>IFERROR(VLOOKUP(A92, 'Exercise Database'!A:J, 6, FALSE) * B92, "")</f>
        <v/>
      </c>
      <c r="H92" s="1" t="str">
        <f>IFERROR(VLOOKUP(A92, 'Exercise Database'!A:J, 7, FALSE) * B92, "")</f>
        <v/>
      </c>
      <c r="I92" s="1" t="str">
        <f>IFERROR(VLOOKUP(A92, 'Exercise Database'!A:J, 8, FALSE) * B92, "")</f>
        <v/>
      </c>
      <c r="J92" s="1" t="str">
        <f>IFERROR(VLOOKUP(A92, 'Exercise Database'!A:J, 9, FALSE) * B92, "")</f>
        <v/>
      </c>
      <c r="K92" s="1" t="str">
        <f>IFERROR(VLOOKUP(A92, 'Exercise Database'!A:J, 10, FALSE) * B92, "")</f>
        <v/>
      </c>
    </row>
    <row r="93" spans="3:11" x14ac:dyDescent="0.3">
      <c r="C93" s="1" t="str">
        <f>IFERROR(VLOOKUP(A93, 'Exercise Database'!A:J, 2, FALSE) * B93, "")</f>
        <v/>
      </c>
      <c r="D93" s="1" t="str">
        <f>IFERROR(VLOOKUP(A93, 'Exercise Database'!A:J, 3, FALSE) * B93, "")</f>
        <v/>
      </c>
      <c r="E93" s="1" t="str">
        <f>IFERROR(VLOOKUP(A93, 'Exercise Database'!A:J, 4, FALSE) * B93, "")</f>
        <v/>
      </c>
      <c r="F93" s="1" t="str">
        <f>IFERROR(VLOOKUP(A93, 'Exercise Database'!A:J, 5, FALSE) * B93, "")</f>
        <v/>
      </c>
      <c r="G93" s="1" t="str">
        <f>IFERROR(VLOOKUP(A93, 'Exercise Database'!A:J, 6, FALSE) * B93, "")</f>
        <v/>
      </c>
      <c r="H93" s="1" t="str">
        <f>IFERROR(VLOOKUP(A93, 'Exercise Database'!A:J, 7, FALSE) * B93, "")</f>
        <v/>
      </c>
      <c r="I93" s="1" t="str">
        <f>IFERROR(VLOOKUP(A93, 'Exercise Database'!A:J, 8, FALSE) * B93, "")</f>
        <v/>
      </c>
      <c r="J93" s="1" t="str">
        <f>IFERROR(VLOOKUP(A93, 'Exercise Database'!A:J, 9, FALSE) * B93, "")</f>
        <v/>
      </c>
      <c r="K93" s="1" t="str">
        <f>IFERROR(VLOOKUP(A93, 'Exercise Database'!A:J, 10, FALSE) * B93, "")</f>
        <v/>
      </c>
    </row>
    <row r="94" spans="3:11" x14ac:dyDescent="0.3">
      <c r="C94" s="1" t="str">
        <f>IFERROR(VLOOKUP(A94, 'Exercise Database'!A:J, 2, FALSE) * B94, "")</f>
        <v/>
      </c>
      <c r="D94" s="1" t="str">
        <f>IFERROR(VLOOKUP(A94, 'Exercise Database'!A:J, 3, FALSE) * B94, "")</f>
        <v/>
      </c>
      <c r="E94" s="1" t="str">
        <f>IFERROR(VLOOKUP(A94, 'Exercise Database'!A:J, 4, FALSE) * B94, "")</f>
        <v/>
      </c>
      <c r="F94" s="1" t="str">
        <f>IFERROR(VLOOKUP(A94, 'Exercise Database'!A:J, 5, FALSE) * B94, "")</f>
        <v/>
      </c>
      <c r="G94" s="1" t="str">
        <f>IFERROR(VLOOKUP(A94, 'Exercise Database'!A:J, 6, FALSE) * B94, "")</f>
        <v/>
      </c>
      <c r="H94" s="1" t="str">
        <f>IFERROR(VLOOKUP(A94, 'Exercise Database'!A:J, 7, FALSE) * B94, "")</f>
        <v/>
      </c>
      <c r="I94" s="1" t="str">
        <f>IFERROR(VLOOKUP(A94, 'Exercise Database'!A:J, 8, FALSE) * B94, "")</f>
        <v/>
      </c>
      <c r="J94" s="1" t="str">
        <f>IFERROR(VLOOKUP(A94, 'Exercise Database'!A:J, 9, FALSE) * B94, "")</f>
        <v/>
      </c>
      <c r="K94" s="1" t="str">
        <f>IFERROR(VLOOKUP(A94, 'Exercise Database'!A:J, 10, FALSE) * B94, "")</f>
        <v/>
      </c>
    </row>
    <row r="95" spans="3:11" x14ac:dyDescent="0.3">
      <c r="C95" s="1" t="str">
        <f>IFERROR(VLOOKUP(A95, 'Exercise Database'!A:J, 2, FALSE) * B95, "")</f>
        <v/>
      </c>
      <c r="D95" s="1" t="str">
        <f>IFERROR(VLOOKUP(A95, 'Exercise Database'!A:J, 3, FALSE) * B95, "")</f>
        <v/>
      </c>
      <c r="E95" s="1" t="str">
        <f>IFERROR(VLOOKUP(A95, 'Exercise Database'!A:J, 4, FALSE) * B95, "")</f>
        <v/>
      </c>
      <c r="F95" s="1" t="str">
        <f>IFERROR(VLOOKUP(A95, 'Exercise Database'!A:J, 5, FALSE) * B95, "")</f>
        <v/>
      </c>
      <c r="G95" s="1" t="str">
        <f>IFERROR(VLOOKUP(A95, 'Exercise Database'!A:J, 6, FALSE) * B95, "")</f>
        <v/>
      </c>
      <c r="H95" s="1" t="str">
        <f>IFERROR(VLOOKUP(A95, 'Exercise Database'!A:J, 7, FALSE) * B95, "")</f>
        <v/>
      </c>
      <c r="I95" s="1" t="str">
        <f>IFERROR(VLOOKUP(A95, 'Exercise Database'!A:J, 8, FALSE) * B95, "")</f>
        <v/>
      </c>
      <c r="J95" s="1" t="str">
        <f>IFERROR(VLOOKUP(A95, 'Exercise Database'!A:J, 9, FALSE) * B95, "")</f>
        <v/>
      </c>
      <c r="K95" s="1" t="str">
        <f>IFERROR(VLOOKUP(A95, 'Exercise Database'!A:J, 10, FALSE) * B95, "")</f>
        <v/>
      </c>
    </row>
    <row r="96" spans="3:11" x14ac:dyDescent="0.3">
      <c r="C96" s="1" t="str">
        <f>IFERROR(VLOOKUP(A96, 'Exercise Database'!A:J, 2, FALSE) * B96, "")</f>
        <v/>
      </c>
      <c r="D96" s="1" t="str">
        <f>IFERROR(VLOOKUP(A96, 'Exercise Database'!A:J, 3, FALSE) * B96, "")</f>
        <v/>
      </c>
      <c r="E96" s="1" t="str">
        <f>IFERROR(VLOOKUP(A96, 'Exercise Database'!A:J, 4, FALSE) * B96, "")</f>
        <v/>
      </c>
      <c r="F96" s="1" t="str">
        <f>IFERROR(VLOOKUP(A96, 'Exercise Database'!A:J, 5, FALSE) * B96, "")</f>
        <v/>
      </c>
      <c r="G96" s="1" t="str">
        <f>IFERROR(VLOOKUP(A96, 'Exercise Database'!A:J, 6, FALSE) * B96, "")</f>
        <v/>
      </c>
      <c r="H96" s="1" t="str">
        <f>IFERROR(VLOOKUP(A96, 'Exercise Database'!A:J, 7, FALSE) * B96, "")</f>
        <v/>
      </c>
      <c r="I96" s="1" t="str">
        <f>IFERROR(VLOOKUP(A96, 'Exercise Database'!A:J, 8, FALSE) * B96, "")</f>
        <v/>
      </c>
      <c r="J96" s="1" t="str">
        <f>IFERROR(VLOOKUP(A96, 'Exercise Database'!A:J, 9, FALSE) * B96, "")</f>
        <v/>
      </c>
      <c r="K96" s="1" t="str">
        <f>IFERROR(VLOOKUP(A96, 'Exercise Database'!A:J, 10, FALSE) * B96, "")</f>
        <v/>
      </c>
    </row>
    <row r="97" spans="3:11" x14ac:dyDescent="0.3">
      <c r="C97" s="1" t="str">
        <f>IFERROR(VLOOKUP(A97, 'Exercise Database'!A:J, 2, FALSE) * B97, "")</f>
        <v/>
      </c>
      <c r="D97" s="1" t="str">
        <f>IFERROR(VLOOKUP(A97, 'Exercise Database'!A:J, 3, FALSE) * B97, "")</f>
        <v/>
      </c>
      <c r="E97" s="1" t="str">
        <f>IFERROR(VLOOKUP(A97, 'Exercise Database'!A:J, 4, FALSE) * B97, "")</f>
        <v/>
      </c>
      <c r="F97" s="1" t="str">
        <f>IFERROR(VLOOKUP(A97, 'Exercise Database'!A:J, 5, FALSE) * B97, "")</f>
        <v/>
      </c>
      <c r="G97" s="1" t="str">
        <f>IFERROR(VLOOKUP(A97, 'Exercise Database'!A:J, 6, FALSE) * B97, "")</f>
        <v/>
      </c>
      <c r="H97" s="1" t="str">
        <f>IFERROR(VLOOKUP(A97, 'Exercise Database'!A:J, 7, FALSE) * B97, "")</f>
        <v/>
      </c>
      <c r="I97" s="1" t="str">
        <f>IFERROR(VLOOKUP(A97, 'Exercise Database'!A:J, 8, FALSE) * B97, "")</f>
        <v/>
      </c>
      <c r="J97" s="1" t="str">
        <f>IFERROR(VLOOKUP(A97, 'Exercise Database'!A:J, 9, FALSE) * B97, "")</f>
        <v/>
      </c>
      <c r="K97" s="1" t="str">
        <f>IFERROR(VLOOKUP(A97, 'Exercise Database'!A:J, 10, FALSE) * B97, "")</f>
        <v/>
      </c>
    </row>
    <row r="98" spans="3:11" x14ac:dyDescent="0.3">
      <c r="C98" s="1" t="str">
        <f>IFERROR(VLOOKUP(A98, 'Exercise Database'!A:J, 2, FALSE) * B98, "")</f>
        <v/>
      </c>
      <c r="D98" s="1" t="str">
        <f>IFERROR(VLOOKUP(A98, 'Exercise Database'!A:J, 3, FALSE) * B98, "")</f>
        <v/>
      </c>
      <c r="E98" s="1" t="str">
        <f>IFERROR(VLOOKUP(A98, 'Exercise Database'!A:J, 4, FALSE) * B98, "")</f>
        <v/>
      </c>
      <c r="F98" s="1" t="str">
        <f>IFERROR(VLOOKUP(A98, 'Exercise Database'!A:J, 5, FALSE) * B98, "")</f>
        <v/>
      </c>
      <c r="G98" s="1" t="str">
        <f>IFERROR(VLOOKUP(A98, 'Exercise Database'!A:J, 6, FALSE) * B98, "")</f>
        <v/>
      </c>
      <c r="H98" s="1" t="str">
        <f>IFERROR(VLOOKUP(A98, 'Exercise Database'!A:J, 7, FALSE) * B98, "")</f>
        <v/>
      </c>
      <c r="I98" s="1" t="str">
        <f>IFERROR(VLOOKUP(A98, 'Exercise Database'!A:J, 8, FALSE) * B98, "")</f>
        <v/>
      </c>
      <c r="J98" s="1" t="str">
        <f>IFERROR(VLOOKUP(A98, 'Exercise Database'!A:J, 9, FALSE) * B98, "")</f>
        <v/>
      </c>
      <c r="K98" s="1" t="str">
        <f>IFERROR(VLOOKUP(A98, 'Exercise Database'!A:J, 10, FALSE) * B98, "")</f>
        <v/>
      </c>
    </row>
    <row r="99" spans="3:11" x14ac:dyDescent="0.3">
      <c r="C99" s="1" t="str">
        <f>IFERROR(VLOOKUP(A99, 'Exercise Database'!A:J, 2, FALSE) * B99, "")</f>
        <v/>
      </c>
      <c r="D99" s="1" t="str">
        <f>IFERROR(VLOOKUP(A99, 'Exercise Database'!A:J, 3, FALSE) * B99, "")</f>
        <v/>
      </c>
      <c r="E99" s="1" t="str">
        <f>IFERROR(VLOOKUP(A99, 'Exercise Database'!A:J, 4, FALSE) * B99, "")</f>
        <v/>
      </c>
      <c r="F99" s="1" t="str">
        <f>IFERROR(VLOOKUP(A99, 'Exercise Database'!A:J, 5, FALSE) * B99, "")</f>
        <v/>
      </c>
      <c r="G99" s="1" t="str">
        <f>IFERROR(VLOOKUP(A99, 'Exercise Database'!A:J, 6, FALSE) * B99, "")</f>
        <v/>
      </c>
      <c r="H99" s="1" t="str">
        <f>IFERROR(VLOOKUP(A99, 'Exercise Database'!A:J, 7, FALSE) * B99, "")</f>
        <v/>
      </c>
      <c r="I99" s="1" t="str">
        <f>IFERROR(VLOOKUP(A99, 'Exercise Database'!A:J, 8, FALSE) * B99, "")</f>
        <v/>
      </c>
      <c r="J99" s="1" t="str">
        <f>IFERROR(VLOOKUP(A99, 'Exercise Database'!A:J, 9, FALSE) * B99, "")</f>
        <v/>
      </c>
      <c r="K99" s="1" t="str">
        <f>IFERROR(VLOOKUP(A99, 'Exercise Database'!A:J, 10, FALSE) * B99, "")</f>
        <v/>
      </c>
    </row>
    <row r="100" spans="3:11" x14ac:dyDescent="0.3">
      <c r="C100" s="1" t="str">
        <f>IFERROR(VLOOKUP(A100, 'Exercise Database'!A:J, 2, FALSE) * B100, "")</f>
        <v/>
      </c>
      <c r="D100" s="1" t="str">
        <f>IFERROR(VLOOKUP(A100, 'Exercise Database'!A:J, 3, FALSE) * B100, "")</f>
        <v/>
      </c>
      <c r="E100" s="1" t="str">
        <f>IFERROR(VLOOKUP(A100, 'Exercise Database'!A:J, 4, FALSE) * B100, "")</f>
        <v/>
      </c>
      <c r="F100" s="1" t="str">
        <f>IFERROR(VLOOKUP(A100, 'Exercise Database'!A:J, 5, FALSE) * B100, "")</f>
        <v/>
      </c>
      <c r="G100" s="1" t="str">
        <f>IFERROR(VLOOKUP(A100, 'Exercise Database'!A:J, 6, FALSE) * B100, "")</f>
        <v/>
      </c>
      <c r="H100" s="1" t="str">
        <f>IFERROR(VLOOKUP(A100, 'Exercise Database'!A:J, 7, FALSE) * B100, "")</f>
        <v/>
      </c>
      <c r="I100" s="1" t="str">
        <f>IFERROR(VLOOKUP(A100, 'Exercise Database'!A:J, 8, FALSE) * B100, "")</f>
        <v/>
      </c>
      <c r="J100" s="1" t="str">
        <f>IFERROR(VLOOKUP(A100, 'Exercise Database'!A:J, 9, FALSE) * B100, "")</f>
        <v/>
      </c>
      <c r="K100" s="1" t="str">
        <f>IFERROR(VLOOKUP(A100, 'Exercise Database'!A:J, 10, FALSE) * B100, "")</f>
        <v/>
      </c>
    </row>
  </sheetData>
  <conditionalFormatting sqref="N2:V2">
    <cfRule type="cellIs" dxfId="1" priority="1" operator="notBetween">
      <formula>10</formula>
      <formula>20</formula>
    </cfRule>
    <cfRule type="cellIs" dxfId="0" priority="2" operator="between">
      <formula>10</formula>
      <formula>20</formula>
    </cfRule>
  </conditionalFormatting>
  <dataValidations count="1">
    <dataValidation type="list" allowBlank="1" showInputMessage="1" showErrorMessage="1" sqref="A2:A100" xr:uid="{3E0A1C99-8F7F-4EFA-BCDA-99EEE0F2D924}">
      <formula1>ExerciseList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Exercise Database</vt:lpstr>
      <vt:lpstr>Workout Tracker</vt:lpstr>
      <vt:lpstr>Workout Tracker (Army)</vt:lpstr>
      <vt:lpstr>ExerciseList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Fahmy, Omar</cp:lastModifiedBy>
  <cp:revision/>
  <dcterms:created xsi:type="dcterms:W3CDTF">2024-09-10T18:51:40Z</dcterms:created>
  <dcterms:modified xsi:type="dcterms:W3CDTF">2025-10-07T18:37:38Z</dcterms:modified>
  <cp:category/>
  <cp:contentStatus/>
</cp:coreProperties>
</file>