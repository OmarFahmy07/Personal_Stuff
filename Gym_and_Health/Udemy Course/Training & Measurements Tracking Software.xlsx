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ersonal Stuff\Gym &amp; Health\Udemy Course\"/>
    </mc:Choice>
  </mc:AlternateContent>
  <xr:revisionPtr revIDLastSave="0" documentId="8_{5266FD62-D48B-4BE8-B2BF-F7D6153C80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IGHT &amp; MEASUREMENTS" sheetId="1" r:id="rId1"/>
    <sheet name="Dropdown" sheetId="2" state="hidden" r:id="rId2"/>
    <sheet name="3-DAY TRAINING LOG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25" i="1"/>
  <c r="N25" i="1"/>
  <c r="O24" i="1"/>
  <c r="N24" i="1"/>
  <c r="F24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C24" i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L23" i="1"/>
  <c r="K23" i="1"/>
  <c r="J23" i="1"/>
  <c r="I23" i="1"/>
  <c r="H23" i="1"/>
  <c r="G23" i="1"/>
  <c r="F23" i="1"/>
</calcChain>
</file>

<file path=xl/sharedStrings.xml><?xml version="1.0" encoding="utf-8"?>
<sst xmlns="http://schemas.openxmlformats.org/spreadsheetml/2006/main" count="199" uniqueCount="70">
  <si>
    <t xml:space="preserve">STEP 1 - ENTER YOUR CURRENT STATS					</t>
  </si>
  <si>
    <t>NAME</t>
  </si>
  <si>
    <t>GENDER</t>
  </si>
  <si>
    <t>AGE</t>
  </si>
  <si>
    <r>
      <rPr>
        <b/>
        <u/>
        <sz val="22"/>
        <color theme="1"/>
        <rFont val="Calibri"/>
      </rPr>
      <t>CURRENT</t>
    </r>
    <r>
      <rPr>
        <b/>
        <u/>
        <sz val="22"/>
        <color theme="1"/>
        <rFont val="Calibri"/>
      </rPr>
      <t xml:space="preserve"> WEIGHT</t>
    </r>
  </si>
  <si>
    <t>ESTIMATED BODY FAT %</t>
  </si>
  <si>
    <t>Click here to estimate</t>
  </si>
  <si>
    <r>
      <rPr>
        <b/>
        <u/>
        <sz val="22"/>
        <color theme="1"/>
        <rFont val="Calibri"/>
      </rPr>
      <t>PRIMARY</t>
    </r>
    <r>
      <rPr>
        <b/>
        <sz val="22"/>
        <color theme="1"/>
        <rFont val="Calibri"/>
      </rPr>
      <t xml:space="preserve"> GOAL</t>
    </r>
  </si>
  <si>
    <t>IMPORTANT</t>
  </si>
  <si>
    <t>ENTER START DATE</t>
  </si>
  <si>
    <r>
      <rPr>
        <b/>
        <u/>
        <sz val="17"/>
        <color rgb="FFFF0000"/>
        <rFont val="Calibri"/>
      </rPr>
      <t>DO NOT</t>
    </r>
    <r>
      <rPr>
        <b/>
        <sz val="17"/>
        <color rgb="FFFF0000"/>
        <rFont val="Calibri"/>
      </rPr>
      <t xml:space="preserve"> EAT BACK CALORIES FROM TRAINING OR CARDIO</t>
    </r>
  </si>
  <si>
    <t>BODY WEIGHT TRACKER</t>
  </si>
  <si>
    <t>MEASUREMENTS TRACKER</t>
  </si>
  <si>
    <t>SELF CHECK-IN NOTES</t>
  </si>
  <si>
    <t>SOFTWARE VERSION 2.0.0</t>
  </si>
  <si>
    <t>&lt;------ DO NOT DELETE VALUES IN THESE TWO COLUMNS -----&gt;</t>
  </si>
  <si>
    <t>&lt;---------------------------- OPTIONAL ----------------------------&gt;</t>
  </si>
  <si>
    <t>(i.e., what happened during the week?)</t>
  </si>
  <si>
    <t>Week</t>
  </si>
  <si>
    <t>Average Weekly Weight</t>
  </si>
  <si>
    <t>Weight Change</t>
  </si>
  <si>
    <t>Target Calories</t>
  </si>
  <si>
    <t>Waist</t>
  </si>
  <si>
    <t>Hip</t>
  </si>
  <si>
    <t>Neck</t>
  </si>
  <si>
    <t>Chest</t>
  </si>
  <si>
    <t>Thigh</t>
  </si>
  <si>
    <t>Bicep</t>
  </si>
  <si>
    <t>Calf</t>
  </si>
  <si>
    <t>Estimated BF %</t>
  </si>
  <si>
    <t>Felt great, strong in the gym and love the new training plan</t>
  </si>
  <si>
    <r>
      <rPr>
        <b/>
        <u/>
        <sz val="11"/>
        <color rgb="FF1155CC"/>
        <rFont val="Calibri"/>
      </rPr>
      <t>www.bradnewtonfitness.com</t>
    </r>
    <r>
      <rPr>
        <b/>
        <sz val="11"/>
        <rFont val="Calibri"/>
      </rPr>
      <t xml:space="preserve"> </t>
    </r>
  </si>
  <si>
    <t>3-Day Weight Training Log</t>
  </si>
  <si>
    <r>
      <rPr>
        <b/>
        <sz val="24"/>
        <color theme="0"/>
        <rFont val="Calibri"/>
      </rPr>
      <t xml:space="preserve">Day 1 - </t>
    </r>
    <r>
      <rPr>
        <b/>
        <u/>
        <sz val="24"/>
        <color theme="0"/>
        <rFont val="Calibri"/>
      </rPr>
      <t>Push</t>
    </r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</si>
  <si>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</si>
  <si>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</si>
  <si>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</si>
  <si>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</si>
  <si>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</si>
  <si>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</si>
  <si>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</si>
  <si>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</si>
  <si>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</si>
  <si>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</si>
  <si>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</si>
  <si>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</si>
  <si>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SET</t>
  </si>
  <si>
    <t>REPS</t>
  </si>
  <si>
    <t>WEIGHT</t>
  </si>
  <si>
    <t>Inclined Dumbbell Bench Press</t>
  </si>
  <si>
    <t>Barbell Military Press</t>
  </si>
  <si>
    <t>Flat Barbell Bench Press</t>
  </si>
  <si>
    <t>Rear Delt Dumbbell Raise</t>
  </si>
  <si>
    <t>Tricep Dips</t>
  </si>
  <si>
    <r>
      <rPr>
        <b/>
        <sz val="24"/>
        <color theme="0"/>
        <rFont val="Calibri"/>
      </rPr>
      <t xml:space="preserve">Day 2 - </t>
    </r>
    <r>
      <rPr>
        <b/>
        <u/>
        <sz val="24"/>
        <color theme="0"/>
        <rFont val="Calibri"/>
      </rPr>
      <t>Pull</t>
    </r>
  </si>
  <si>
    <t>Barbell Deadlift</t>
  </si>
  <si>
    <t>Close-Grip Lat Pull-Down</t>
  </si>
  <si>
    <t>Dumbbell Row</t>
  </si>
  <si>
    <t>Body weight Pull-Ups</t>
  </si>
  <si>
    <t>Barbell Curls</t>
  </si>
  <si>
    <t>Hammer Curls</t>
  </si>
  <si>
    <r>
      <rPr>
        <b/>
        <sz val="24"/>
        <color theme="0"/>
        <rFont val="Calibri"/>
      </rPr>
      <t xml:space="preserve">Day 3 - </t>
    </r>
    <r>
      <rPr>
        <b/>
        <u/>
        <sz val="24"/>
        <color theme="0"/>
        <rFont val="Calibri"/>
      </rPr>
      <t>Legs</t>
    </r>
  </si>
  <si>
    <t>Barbell Back Squat</t>
  </si>
  <si>
    <t>Leg Press</t>
  </si>
  <si>
    <t>Romanian Deadlift</t>
  </si>
  <si>
    <t>Standing Calf Raises</t>
  </si>
  <si>
    <t>Seated Calf Raises</t>
  </si>
  <si>
    <t>Omar Ahmed Fahmy</t>
  </si>
  <si>
    <t>Male</t>
  </si>
  <si>
    <t>Build Muscle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</si>
</sst>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C09]dd\-mmmm\-yyyy"/>
    <numFmt numFmtId="165" formatCode="d&quot;-&quot;mmm&quot;-&quot;yyyy"/>
    <numFmt numFmtId="166" formatCode="0.0"/>
    <numFmt numFmtId="167" formatCode="0.00_ ;[Red]\-0.00\ "/>
  </numFmts>
  <fonts count="33" x14ac:knownFonts="1">
    <font>
      <sz val="11"/>
      <color theme="1"/>
      <name val="Calibri"/>
      <scheme val="minor"/>
    </font>
    <font>
      <sz val="11"/>
      <color theme="1"/>
      <name val="Calibri"/>
    </font>
    <font>
      <sz val="16"/>
      <color theme="1"/>
      <name val="Calibri"/>
    </font>
    <font>
      <b/>
      <sz val="26"/>
      <color theme="0"/>
      <name val="Calibri"/>
    </font>
    <font>
      <sz val="11"/>
      <name val="Calibri"/>
    </font>
    <font>
      <b/>
      <i/>
      <sz val="12"/>
      <color rgb="FF0000FF"/>
      <name val="Lato"/>
    </font>
    <font>
      <b/>
      <sz val="22"/>
      <color theme="1"/>
      <name val="Calibri"/>
    </font>
    <font>
      <b/>
      <sz val="20"/>
      <color theme="1"/>
      <name val="Calibri"/>
    </font>
    <font>
      <b/>
      <u/>
      <sz val="22"/>
      <color theme="1"/>
      <name val="Calibri"/>
    </font>
    <font>
      <b/>
      <sz val="18"/>
      <color rgb="FF0000FF"/>
      <name val="Calibri"/>
    </font>
    <font>
      <sz val="20"/>
      <color theme="1"/>
      <name val="Calibri"/>
    </font>
    <font>
      <b/>
      <u/>
      <sz val="20"/>
      <color rgb="FFFF0000"/>
      <name val="Calibri"/>
    </font>
    <font>
      <b/>
      <sz val="26"/>
      <color rgb="FFFFFFFF"/>
      <name val="Calibri"/>
    </font>
    <font>
      <b/>
      <sz val="18"/>
      <color theme="4"/>
      <name val="Calibri"/>
    </font>
    <font>
      <b/>
      <sz val="17"/>
      <color rgb="FFFF0000"/>
      <name val="Calibri"/>
      <scheme val="minor"/>
    </font>
    <font>
      <sz val="11"/>
      <color rgb="FF2F5496"/>
      <name val="Calibri"/>
    </font>
    <font>
      <sz val="10"/>
      <color theme="1"/>
      <name val="Calibri"/>
    </font>
    <font>
      <b/>
      <sz val="16"/>
      <color rgb="FFFF0000"/>
      <name val="Calibri"/>
    </font>
    <font>
      <b/>
      <sz val="16"/>
      <color theme="1"/>
      <name val="Calibri"/>
    </font>
    <font>
      <b/>
      <sz val="20"/>
      <color theme="0"/>
      <name val="Calibri"/>
    </font>
    <font>
      <b/>
      <sz val="20"/>
      <color rgb="FFFFFFFF"/>
      <name val="Calibri"/>
    </font>
    <font>
      <b/>
      <sz val="20"/>
      <color rgb="FF00B050"/>
      <name val="Calibri"/>
    </font>
    <font>
      <b/>
      <u/>
      <sz val="11"/>
      <color rgb="FF0000FF"/>
      <name val="Calibri"/>
    </font>
    <font>
      <b/>
      <sz val="26"/>
      <color theme="1"/>
      <name val="Calibri"/>
    </font>
    <font>
      <sz val="14"/>
      <color theme="1"/>
      <name val="Calibri"/>
    </font>
    <font>
      <b/>
      <sz val="24"/>
      <color theme="0"/>
      <name val="Calibri"/>
    </font>
    <font>
      <b/>
      <sz val="16"/>
      <color theme="0"/>
      <name val="Calibri"/>
    </font>
    <font>
      <b/>
      <sz val="18"/>
      <color theme="1"/>
      <name val="Calibri"/>
    </font>
    <font>
      <b/>
      <u/>
      <sz val="17"/>
      <color rgb="FFFF0000"/>
      <name val="Calibri"/>
    </font>
    <font>
      <b/>
      <sz val="17"/>
      <color rgb="FFFF0000"/>
      <name val="Calibri"/>
    </font>
    <font>
      <b/>
      <u/>
      <sz val="11"/>
      <color rgb="FF1155CC"/>
      <name val="Calibri"/>
    </font>
    <font>
      <b/>
      <sz val="11"/>
      <name val="Calibri"/>
    </font>
    <font>
      <b/>
      <u/>
      <sz val="24"/>
      <color theme="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E599"/>
        <bgColor rgb="FFFFE599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44546A"/>
        <bgColor rgb="FF44546A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  <fill>
      <patternFill patternType="solid">
        <fgColor rgb="FF005696"/>
        <bgColor rgb="FF005696"/>
      </patternFill>
    </fill>
    <fill>
      <patternFill patternType="solid">
        <fgColor rgb="FFCCCCCC"/>
        <bgColor rgb="FFCCCCCC"/>
      </patternFill>
    </fill>
    <fill>
      <patternFill patternType="solid">
        <fgColor rgb="FFFFFBEF"/>
        <bgColor rgb="FFFFFBEF"/>
      </patternFill>
    </fill>
    <fill>
      <patternFill patternType="solid">
        <fgColor rgb="FF222A35"/>
        <bgColor rgb="FF222A35"/>
      </patternFill>
    </fill>
    <fill>
      <patternFill patternType="solid">
        <fgColor rgb="FF0078A2"/>
        <bgColor rgb="FF0078A2"/>
      </patternFill>
    </fill>
    <fill>
      <patternFill patternType="solid">
        <fgColor rgb="FFD8D8D8"/>
        <bgColor rgb="FFD8D8D8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5" fillId="0" borderId="0" xfId="0" applyFont="1"/>
    <xf numFmtId="14" fontId="1" fillId="0" borderId="0" xfId="0" applyNumberFormat="1" applyFont="1"/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5" borderId="8" xfId="0" applyFont="1" applyFill="1" applyBorder="1"/>
    <xf numFmtId="0" fontId="11" fillId="5" borderId="9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top"/>
    </xf>
    <xf numFmtId="18" fontId="1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8" borderId="1" xfId="0" applyFont="1" applyFill="1" applyBorder="1"/>
    <xf numFmtId="0" fontId="16" fillId="8" borderId="1" xfId="0" applyFont="1" applyFill="1" applyBorder="1" applyAlignment="1">
      <alignment vertical="top"/>
    </xf>
    <xf numFmtId="0" fontId="1" fillId="8" borderId="1" xfId="0" applyFont="1" applyFill="1" applyBorder="1"/>
    <xf numFmtId="0" fontId="19" fillId="9" borderId="15" xfId="0" applyFont="1" applyFill="1" applyBorder="1" applyAlignment="1">
      <alignment horizontal="center" vertical="center"/>
    </xf>
    <xf numFmtId="0" fontId="10" fillId="8" borderId="1" xfId="0" applyFont="1" applyFill="1" applyBorder="1"/>
    <xf numFmtId="0" fontId="19" fillId="9" borderId="16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20" fillId="11" borderId="15" xfId="0" applyFont="1" applyFill="1" applyBorder="1" applyAlignment="1">
      <alignment horizontal="center" vertical="center"/>
    </xf>
    <xf numFmtId="0" fontId="19" fillId="12" borderId="16" xfId="0" applyFont="1" applyFill="1" applyBorder="1" applyAlignment="1">
      <alignment horizontal="center" vertical="center"/>
    </xf>
    <xf numFmtId="1" fontId="10" fillId="0" borderId="18" xfId="0" applyNumberFormat="1" applyFont="1" applyBorder="1" applyAlignment="1">
      <alignment horizontal="center" vertical="center" wrapText="1"/>
    </xf>
    <xf numFmtId="165" fontId="7" fillId="13" borderId="0" xfId="0" applyNumberFormat="1" applyFont="1" applyFill="1" applyAlignment="1">
      <alignment horizontal="center" vertical="center"/>
    </xf>
    <xf numFmtId="166" fontId="10" fillId="0" borderId="18" xfId="0" applyNumberFormat="1" applyFont="1" applyBorder="1" applyAlignment="1">
      <alignment horizontal="center" vertical="center" wrapText="1"/>
    </xf>
    <xf numFmtId="166" fontId="7" fillId="14" borderId="19" xfId="0" applyNumberFormat="1" applyFont="1" applyFill="1" applyBorder="1" applyAlignment="1">
      <alignment horizontal="center" vertical="center"/>
    </xf>
    <xf numFmtId="167" fontId="21" fillId="14" borderId="1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10" fillId="0" borderId="23" xfId="0" applyNumberFormat="1" applyFont="1" applyBorder="1" applyAlignment="1">
      <alignment horizontal="center" vertical="center" wrapText="1"/>
    </xf>
    <xf numFmtId="167" fontId="21" fillId="14" borderId="24" xfId="0" applyNumberFormat="1" applyFont="1" applyFill="1" applyBorder="1" applyAlignment="1">
      <alignment horizontal="center" vertical="center"/>
    </xf>
    <xf numFmtId="0" fontId="1" fillId="7" borderId="1" xfId="0" applyFont="1" applyFill="1" applyBorder="1"/>
    <xf numFmtId="0" fontId="22" fillId="0" borderId="0" xfId="0" applyFont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/>
    <xf numFmtId="0" fontId="2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center" vertical="center"/>
    </xf>
    <xf numFmtId="0" fontId="24" fillId="17" borderId="33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7" fillId="4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12" fillId="3" borderId="2" xfId="0" applyFont="1" applyFill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/>
    <xf numFmtId="166" fontId="10" fillId="0" borderId="20" xfId="0" applyNumberFormat="1" applyFont="1" applyBorder="1" applyAlignment="1">
      <alignment horizontal="center" vertical="center" wrapText="1"/>
    </xf>
    <xf numFmtId="0" fontId="4" fillId="0" borderId="21" xfId="0" applyFont="1" applyBorder="1"/>
    <xf numFmtId="0" fontId="18" fillId="0" borderId="22" xfId="0" applyFont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18" fillId="8" borderId="11" xfId="0" applyFont="1" applyFill="1" applyBorder="1" applyAlignment="1">
      <alignment horizontal="center" vertical="center"/>
    </xf>
    <xf numFmtId="0" fontId="4" fillId="0" borderId="13" xfId="0" applyFont="1" applyBorder="1"/>
    <xf numFmtId="0" fontId="3" fillId="6" borderId="2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15" borderId="25" xfId="0" applyFont="1" applyFill="1" applyBorder="1" applyAlignment="1">
      <alignment horizontal="center" vertical="center"/>
    </xf>
    <xf numFmtId="0" fontId="4" fillId="0" borderId="26" xfId="0" applyFont="1" applyBorder="1"/>
    <xf numFmtId="0" fontId="19" fillId="9" borderId="27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2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15</xdr:row>
      <xdr:rowOff>9525</xdr:rowOff>
    </xdr:from>
    <xdr:ext cx="2905125" cy="419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50628" y="3570450"/>
          <a:ext cx="2884200" cy="4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>
              <a:solidFill>
                <a:srgbClr val="0000FF"/>
              </a:solidFill>
            </a:rPr>
            <a:t>Double-click for drop-down menu</a:t>
          </a:r>
          <a:endParaRPr sz="1400">
            <a:solidFill>
              <a:srgbClr val="0000FF"/>
            </a:solidFill>
          </a:endParaRPr>
        </a:p>
      </xdr:txBody>
    </xdr:sp>
    <xdr:clientData fLocksWithSheet="0"/>
  </xdr:oneCellAnchor>
  <xdr:oneCellAnchor>
    <xdr:from>
      <xdr:col>8</xdr:col>
      <xdr:colOff>38100</xdr:colOff>
      <xdr:row>17</xdr:row>
      <xdr:rowOff>9525</xdr:rowOff>
    </xdr:from>
    <xdr:ext cx="2609850" cy="419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200075" y="3838100"/>
          <a:ext cx="2588400" cy="4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FF"/>
              </a:solidFill>
            </a:rPr>
            <a:t>Double-click to change date</a:t>
          </a:r>
          <a:endParaRPr sz="1400">
            <a:solidFill>
              <a:srgbClr val="0000FF"/>
            </a:solidFill>
          </a:endParaRPr>
        </a:p>
      </xdr:txBody>
    </xdr:sp>
    <xdr:clientData fLocksWithSheet="0"/>
  </xdr:oneCellAnchor>
  <xdr:oneCellAnchor>
    <xdr:from>
      <xdr:col>8</xdr:col>
      <xdr:colOff>76200</xdr:colOff>
      <xdr:row>10</xdr:row>
      <xdr:rowOff>171450</xdr:rowOff>
    </xdr:from>
    <xdr:ext cx="895350" cy="4191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892625" y="2846350"/>
          <a:ext cx="872700" cy="4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FF"/>
              </a:solidFill>
            </a:rPr>
            <a:t>KG</a:t>
          </a:r>
          <a:endParaRPr sz="1400">
            <a:solidFill>
              <a:srgbClr val="0000FF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bradnewtonfitness.com/" TargetMode="External"/><Relationship Id="rId1" Type="http://schemas.openxmlformats.org/officeDocument/2006/relationships/hyperlink" Target="https://www.bradnewtonfitness.com/body-fat-percentage-ultimate-guide-for-beginn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AS1000"/>
  <sheetViews>
    <sheetView tabSelected="1" zoomScale="64" zoomScaleNormal="120" workbookViewId="0">
      <pane ySplit="1" topLeftCell="A12" activePane="bottomLeft" state="frozen"/>
      <selection pane="bottomLeft" activeCell="H31" sqref="H31"/>
    </sheetView>
  </sheetViews>
  <sheetFormatPr defaultColWidth="14.44140625" defaultRowHeight="15" customHeight="1" x14ac:dyDescent="0.3"/>
  <cols>
    <col min="1" max="1" width="5.5546875" customWidth="1"/>
    <col min="2" max="2" width="6.33203125" customWidth="1"/>
    <col min="3" max="3" width="47" customWidth="1"/>
    <col min="4" max="4" width="1.5546875" customWidth="1"/>
    <col min="5" max="5" width="1.44140625" customWidth="1"/>
    <col min="6" max="6" width="19" customWidth="1"/>
    <col min="7" max="7" width="15.6640625" customWidth="1"/>
    <col min="8" max="8" width="15.5546875" customWidth="1"/>
    <col min="9" max="12" width="15.6640625" customWidth="1"/>
    <col min="13" max="13" width="1.109375" customWidth="1"/>
    <col min="14" max="14" width="43.5546875" customWidth="1"/>
    <col min="15" max="15" width="36.33203125" customWidth="1"/>
    <col min="16" max="16" width="2.44140625" customWidth="1"/>
    <col min="17" max="17" width="40.88671875" customWidth="1"/>
    <col min="18" max="18" width="2.44140625" customWidth="1"/>
    <col min="19" max="19" width="14.109375" customWidth="1"/>
    <col min="20" max="20" width="12.5546875" customWidth="1"/>
    <col min="21" max="21" width="2.44140625" customWidth="1"/>
    <col min="22" max="26" width="15" customWidth="1"/>
    <col min="27" max="27" width="2.44140625" customWidth="1"/>
    <col min="28" max="28" width="8.6640625" customWidth="1"/>
    <col min="29" max="29" width="20.6640625" customWidth="1"/>
    <col min="30" max="30" width="2.44140625" customWidth="1"/>
    <col min="31" max="32" width="8.6640625" customWidth="1"/>
    <col min="33" max="33" width="15" customWidth="1"/>
    <col min="34" max="37" width="8.6640625" customWidth="1"/>
    <col min="38" max="38" width="1.88671875" customWidth="1"/>
    <col min="39" max="44" width="8.6640625" customWidth="1"/>
    <col min="45" max="45" width="2.44140625" customWidth="1"/>
  </cols>
  <sheetData>
    <row r="2" spans="1:26" ht="15" customHeight="1" x14ac:dyDescent="0.3">
      <c r="A2" s="1"/>
    </row>
    <row r="3" spans="1:26" ht="44.25" customHeight="1" x14ac:dyDescent="0.45">
      <c r="A3" s="2"/>
      <c r="B3" s="3"/>
      <c r="C3" s="50" t="s">
        <v>0</v>
      </c>
      <c r="D3" s="51"/>
      <c r="E3" s="51"/>
      <c r="F3" s="51"/>
      <c r="G3" s="51"/>
      <c r="H3" s="51"/>
      <c r="I3" s="51"/>
      <c r="J3" s="51"/>
      <c r="K3" s="51"/>
      <c r="L3" s="51"/>
      <c r="M3" s="52"/>
      <c r="N3" s="4"/>
      <c r="R3" s="4"/>
      <c r="V3" s="4"/>
      <c r="Z3" s="4"/>
    </row>
    <row r="4" spans="1:26" ht="15" customHeight="1" x14ac:dyDescent="0.4">
      <c r="A4" s="2"/>
      <c r="B4" s="3"/>
      <c r="M4" s="3"/>
      <c r="N4" s="5"/>
      <c r="R4" s="5"/>
      <c r="V4" s="5"/>
      <c r="Z4" s="5"/>
    </row>
    <row r="5" spans="1:26" ht="15" customHeight="1" x14ac:dyDescent="0.45">
      <c r="A5" s="2"/>
      <c r="B5" s="3"/>
      <c r="M5" s="3"/>
      <c r="N5" s="4"/>
      <c r="R5" s="4"/>
      <c r="V5" s="4"/>
      <c r="Z5" s="4"/>
    </row>
    <row r="6" spans="1:26" ht="33" customHeight="1" x14ac:dyDescent="0.4">
      <c r="A6" s="2"/>
      <c r="B6" s="3"/>
      <c r="C6" s="6" t="s">
        <v>1</v>
      </c>
      <c r="F6" s="53" t="s">
        <v>67</v>
      </c>
      <c r="G6" s="54"/>
      <c r="H6" s="55"/>
      <c r="M6" s="3"/>
    </row>
    <row r="7" spans="1:26" ht="15" customHeight="1" x14ac:dyDescent="0.45">
      <c r="A7" s="2"/>
      <c r="B7" s="3"/>
      <c r="C7" s="7"/>
      <c r="M7" s="3"/>
      <c r="N7" s="4"/>
    </row>
    <row r="8" spans="1:26" ht="33" customHeight="1" x14ac:dyDescent="0.45">
      <c r="A8" s="2"/>
      <c r="B8" s="3"/>
      <c r="C8" s="6" t="s">
        <v>2</v>
      </c>
      <c r="F8" s="53" t="s">
        <v>68</v>
      </c>
      <c r="G8" s="54"/>
      <c r="H8" s="55"/>
      <c r="M8" s="3"/>
      <c r="N8" s="4"/>
      <c r="O8" s="5"/>
    </row>
    <row r="9" spans="1:26" ht="15" customHeight="1" x14ac:dyDescent="0.45">
      <c r="A9" s="2"/>
      <c r="B9" s="3"/>
      <c r="C9" s="7"/>
      <c r="M9" s="3"/>
      <c r="N9" s="4"/>
    </row>
    <row r="10" spans="1:26" ht="33" customHeight="1" x14ac:dyDescent="0.4">
      <c r="A10" s="2"/>
      <c r="B10" s="3"/>
      <c r="C10" s="6" t="s">
        <v>3</v>
      </c>
      <c r="F10" s="53">
        <v>25</v>
      </c>
      <c r="G10" s="54"/>
      <c r="H10" s="55"/>
      <c r="M10" s="3"/>
    </row>
    <row r="11" spans="1:26" ht="15" customHeight="1" x14ac:dyDescent="0.45">
      <c r="A11" s="2"/>
      <c r="B11" s="3"/>
      <c r="C11" s="7"/>
      <c r="M11" s="3"/>
      <c r="N11" s="4"/>
    </row>
    <row r="12" spans="1:26" ht="33" customHeight="1" x14ac:dyDescent="0.4">
      <c r="A12" s="2"/>
      <c r="B12" s="3"/>
      <c r="C12" s="8" t="s">
        <v>4</v>
      </c>
      <c r="F12" s="53">
        <v>71.150000000000006</v>
      </c>
      <c r="G12" s="54"/>
      <c r="H12" s="55"/>
      <c r="I12" s="9"/>
      <c r="M12" s="3"/>
      <c r="N12" s="5"/>
    </row>
    <row r="13" spans="1:26" ht="15" customHeight="1" x14ac:dyDescent="0.45">
      <c r="A13" s="2"/>
      <c r="B13" s="3"/>
      <c r="C13" s="7"/>
      <c r="M13" s="3"/>
      <c r="N13" s="4"/>
    </row>
    <row r="14" spans="1:26" ht="33" customHeight="1" x14ac:dyDescent="0.5">
      <c r="A14" s="2"/>
      <c r="B14" s="3"/>
      <c r="C14" s="6" t="s">
        <v>5</v>
      </c>
      <c r="F14" s="53">
        <v>13</v>
      </c>
      <c r="G14" s="54"/>
      <c r="H14" s="55"/>
      <c r="I14" s="10"/>
      <c r="J14" s="11"/>
      <c r="K14" s="12" t="s">
        <v>6</v>
      </c>
      <c r="L14" s="13"/>
      <c r="M14" s="3"/>
    </row>
    <row r="15" spans="1:26" ht="15" customHeight="1" x14ac:dyDescent="0.45">
      <c r="A15" s="2"/>
      <c r="B15" s="3"/>
      <c r="C15" s="7"/>
      <c r="M15" s="3"/>
      <c r="N15" s="4"/>
    </row>
    <row r="16" spans="1:26" ht="33" customHeight="1" x14ac:dyDescent="0.4">
      <c r="A16" s="2"/>
      <c r="B16" s="3"/>
      <c r="C16" s="6" t="s">
        <v>7</v>
      </c>
      <c r="F16" s="53" t="s">
        <v>69</v>
      </c>
      <c r="G16" s="54"/>
      <c r="H16" s="55"/>
      <c r="M16" s="3"/>
      <c r="O16" s="56" t="s">
        <v>8</v>
      </c>
      <c r="P16" s="51"/>
      <c r="Q16" s="52"/>
    </row>
    <row r="17" spans="1:45" ht="15" customHeight="1" x14ac:dyDescent="0.45">
      <c r="A17" s="2"/>
      <c r="B17" s="3"/>
      <c r="C17" s="7"/>
      <c r="M17" s="3"/>
      <c r="N17" s="4"/>
    </row>
    <row r="18" spans="1:45" ht="33" customHeight="1" x14ac:dyDescent="0.4">
      <c r="A18" s="2"/>
      <c r="B18" s="3"/>
      <c r="C18" s="6" t="s">
        <v>9</v>
      </c>
      <c r="F18" s="57">
        <v>45933</v>
      </c>
      <c r="G18" s="54"/>
      <c r="H18" s="55"/>
      <c r="J18" s="14"/>
      <c r="M18" s="3"/>
      <c r="O18" s="58" t="s">
        <v>10</v>
      </c>
      <c r="P18" s="59"/>
      <c r="Q18" s="59"/>
    </row>
    <row r="19" spans="1:45" ht="33" customHeight="1" x14ac:dyDescent="0.4">
      <c r="A19" s="2"/>
      <c r="B19" s="3"/>
      <c r="F19" s="15"/>
      <c r="M19" s="3"/>
      <c r="Q19" s="16"/>
    </row>
    <row r="20" spans="1:45" ht="28.5" customHeight="1" x14ac:dyDescent="0.4">
      <c r="A20" s="2"/>
      <c r="B20" s="3"/>
      <c r="M20" s="3"/>
    </row>
    <row r="21" spans="1:45" ht="39.75" customHeight="1" x14ac:dyDescent="0.4">
      <c r="A21" s="2"/>
      <c r="B21" s="3"/>
      <c r="C21" s="50" t="s">
        <v>11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2"/>
      <c r="P21" s="3"/>
      <c r="Q21" s="50" t="s">
        <v>12</v>
      </c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2"/>
      <c r="AD21" s="17"/>
      <c r="AE21" s="67" t="s">
        <v>13</v>
      </c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2"/>
      <c r="AS21" s="18"/>
    </row>
    <row r="22" spans="1:45" ht="24.75" customHeight="1" x14ac:dyDescent="0.4">
      <c r="A22" s="2"/>
      <c r="B22" s="19"/>
      <c r="C22" s="20" t="s">
        <v>14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63" t="s">
        <v>15</v>
      </c>
      <c r="O22" s="64"/>
      <c r="P22" s="21"/>
      <c r="Q22" s="21"/>
      <c r="R22" s="21"/>
      <c r="S22" s="21"/>
      <c r="T22" s="21"/>
      <c r="U22" s="21"/>
      <c r="V22" s="65" t="s">
        <v>16</v>
      </c>
      <c r="W22" s="66"/>
      <c r="X22" s="66"/>
      <c r="Y22" s="66"/>
      <c r="Z22" s="64"/>
      <c r="AA22" s="21"/>
      <c r="AB22" s="21"/>
      <c r="AC22" s="21"/>
      <c r="AD22" s="21"/>
      <c r="AE22" s="68" t="s">
        <v>17</v>
      </c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18"/>
    </row>
    <row r="23" spans="1:45" ht="33" customHeight="1" x14ac:dyDescent="0.5">
      <c r="A23" s="2"/>
      <c r="B23" s="19"/>
      <c r="C23" s="22" t="s">
        <v>18</v>
      </c>
      <c r="D23" s="23"/>
      <c r="E23" s="23"/>
      <c r="F23" s="24" t="str">
        <f>TEXT($F$18,"ddd")</f>
        <v>Fri</v>
      </c>
      <c r="G23" s="24" t="str">
        <f>TEXT($F$18+1,"ddd")</f>
        <v>Sat</v>
      </c>
      <c r="H23" s="24" t="str">
        <f>TEXT($F$18+2,"ddd")</f>
        <v>Sun</v>
      </c>
      <c r="I23" s="24" t="str">
        <f>TEXT($F$18+3,"ddd")</f>
        <v>Mon</v>
      </c>
      <c r="J23" s="24" t="str">
        <f>TEXT($F$18+4,"ddd")</f>
        <v>Tue</v>
      </c>
      <c r="K23" s="24" t="str">
        <f>TEXT($F$18+5,"ddd")</f>
        <v>Wed</v>
      </c>
      <c r="L23" s="24" t="str">
        <f>TEXT($F$18+6,"ddd")</f>
        <v>Thu</v>
      </c>
      <c r="M23" s="23"/>
      <c r="N23" s="25" t="s">
        <v>19</v>
      </c>
      <c r="O23" s="26" t="s">
        <v>20</v>
      </c>
      <c r="P23" s="18"/>
      <c r="Q23" s="27" t="s">
        <v>21</v>
      </c>
      <c r="R23" s="18"/>
      <c r="S23" s="28" t="s">
        <v>22</v>
      </c>
      <c r="T23" s="28" t="s">
        <v>23</v>
      </c>
      <c r="U23" s="18"/>
      <c r="V23" s="24" t="s">
        <v>24</v>
      </c>
      <c r="W23" s="24" t="s">
        <v>25</v>
      </c>
      <c r="X23" s="24" t="s">
        <v>26</v>
      </c>
      <c r="Y23" s="24" t="s">
        <v>27</v>
      </c>
      <c r="Z23" s="24" t="s">
        <v>28</v>
      </c>
      <c r="AA23" s="18"/>
      <c r="AB23" s="69" t="s">
        <v>29</v>
      </c>
      <c r="AC23" s="55"/>
      <c r="AD23" s="18"/>
      <c r="AS23" s="18"/>
    </row>
    <row r="24" spans="1:45" ht="33" customHeight="1" x14ac:dyDescent="0.5">
      <c r="A24" s="2"/>
      <c r="B24" s="29">
        <v>1</v>
      </c>
      <c r="C24" s="30">
        <f>IF(F18="","",F18)</f>
        <v>45933</v>
      </c>
      <c r="D24" s="23"/>
      <c r="E24" s="23"/>
      <c r="F24" s="31">
        <f>F12</f>
        <v>71.150000000000006</v>
      </c>
      <c r="G24" s="31">
        <v>71.75</v>
      </c>
      <c r="H24" s="31">
        <v>71.599999999999994</v>
      </c>
      <c r="I24" s="31">
        <v>72.849999999999994</v>
      </c>
      <c r="J24" s="31">
        <v>72.400000000000006</v>
      </c>
      <c r="K24" s="31">
        <v>72.75</v>
      </c>
      <c r="L24" s="31">
        <v>72.2</v>
      </c>
      <c r="M24" s="23"/>
      <c r="N24" s="32">
        <f>IF(COUNTA(F24:L24)=0,"",AVERAGE(F24:L24))</f>
        <v>72.099999999999994</v>
      </c>
      <c r="O24" s="33">
        <f>IF(N24="","",(N24-$F$12))</f>
        <v>0.94999999999998863</v>
      </c>
      <c r="P24" s="18"/>
      <c r="Q24" s="34">
        <v>2650</v>
      </c>
      <c r="R24" s="18"/>
      <c r="S24" s="31">
        <v>93</v>
      </c>
      <c r="T24" s="31">
        <v>85</v>
      </c>
      <c r="U24" s="18"/>
      <c r="V24" s="31">
        <v>93</v>
      </c>
      <c r="W24" s="31">
        <v>85</v>
      </c>
      <c r="X24" s="31">
        <v>93</v>
      </c>
      <c r="Y24" s="31">
        <v>93</v>
      </c>
      <c r="Z24" s="31">
        <v>85</v>
      </c>
      <c r="AA24" s="18"/>
      <c r="AB24" s="60">
        <v>27</v>
      </c>
      <c r="AC24" s="61"/>
      <c r="AD24" s="18"/>
      <c r="AE24" s="62" t="s">
        <v>30</v>
      </c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18"/>
    </row>
    <row r="25" spans="1:45" ht="33" customHeight="1" x14ac:dyDescent="0.5">
      <c r="A25" s="2"/>
      <c r="B25" s="29">
        <v>2</v>
      </c>
      <c r="C25" s="30">
        <f t="shared" ref="C25:C75" si="0">IF(C24="","",C24+7)</f>
        <v>45940</v>
      </c>
      <c r="D25" s="23"/>
      <c r="E25" s="23"/>
      <c r="F25" s="35">
        <v>72.2</v>
      </c>
      <c r="G25" s="35">
        <v>72.650000000000006</v>
      </c>
      <c r="H25" s="35">
        <v>72.400000000000006</v>
      </c>
      <c r="I25" s="35">
        <v>73.349999999999994</v>
      </c>
      <c r="J25" s="35">
        <v>72.650000000000006</v>
      </c>
      <c r="K25" s="35">
        <v>72.400000000000006</v>
      </c>
      <c r="L25" s="35">
        <v>72.150000000000006</v>
      </c>
      <c r="M25" s="23"/>
      <c r="N25" s="32">
        <f>IF(COUNTA(F25:L25)=0,"",AVERAGE(F25:L25))</f>
        <v>72.54285714285713</v>
      </c>
      <c r="O25" s="36">
        <f>IF(N25="","",(N25-$F$25))</f>
        <v>0.34285714285712743</v>
      </c>
      <c r="P25" s="18"/>
      <c r="Q25" s="34"/>
      <c r="R25" s="18"/>
      <c r="S25" s="35"/>
      <c r="T25" s="35"/>
      <c r="U25" s="18"/>
      <c r="V25" s="35"/>
      <c r="W25" s="35"/>
      <c r="X25" s="35"/>
      <c r="Y25" s="35"/>
      <c r="Z25" s="35"/>
      <c r="AA25" s="18"/>
      <c r="AB25" s="60"/>
      <c r="AC25" s="61"/>
      <c r="AD25" s="18"/>
      <c r="AE25" s="62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18"/>
    </row>
    <row r="26" spans="1:45" ht="33" customHeight="1" x14ac:dyDescent="0.5">
      <c r="A26" s="2"/>
      <c r="B26" s="29">
        <v>3</v>
      </c>
      <c r="C26" s="30">
        <f t="shared" si="0"/>
        <v>45947</v>
      </c>
      <c r="D26" s="23"/>
      <c r="E26" s="23"/>
      <c r="F26" s="35">
        <v>72.2</v>
      </c>
      <c r="G26" s="35">
        <v>71.8</v>
      </c>
      <c r="H26" s="35">
        <v>72.45</v>
      </c>
      <c r="I26" s="35">
        <v>73.2</v>
      </c>
      <c r="J26" s="35">
        <v>72.75</v>
      </c>
      <c r="K26" s="35">
        <v>72.7</v>
      </c>
      <c r="L26" s="35">
        <v>72.599999999999994</v>
      </c>
      <c r="M26" s="23"/>
      <c r="N26" s="32">
        <f t="shared" ref="N26:N75" si="1">IF(COUNTA(F26:L26)=0,"",AVERAGE(F26:L26))</f>
        <v>72.528571428571425</v>
      </c>
      <c r="O26" s="36">
        <f>IF(N26="","",(N26-$F$26))</f>
        <v>0.32857142857142208</v>
      </c>
      <c r="P26" s="18"/>
      <c r="Q26" s="34"/>
      <c r="R26" s="18"/>
      <c r="S26" s="35"/>
      <c r="T26" s="35"/>
      <c r="U26" s="18"/>
      <c r="V26" s="35"/>
      <c r="W26" s="35"/>
      <c r="X26" s="35"/>
      <c r="Y26" s="35"/>
      <c r="Z26" s="35"/>
      <c r="AA26" s="18"/>
      <c r="AB26" s="60"/>
      <c r="AC26" s="61"/>
      <c r="AD26" s="18"/>
      <c r="AE26" s="62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18"/>
    </row>
    <row r="27" spans="1:45" ht="33" customHeight="1" x14ac:dyDescent="0.5">
      <c r="A27" s="2"/>
      <c r="B27" s="29">
        <v>4</v>
      </c>
      <c r="C27" s="30">
        <f t="shared" si="0"/>
        <v>45954</v>
      </c>
      <c r="D27" s="23"/>
      <c r="E27" s="23"/>
      <c r="F27" s="35">
        <v>72.75</v>
      </c>
      <c r="G27" s="35">
        <v>72.849999999999994</v>
      </c>
      <c r="H27" s="35">
        <v>73</v>
      </c>
      <c r="I27" s="35"/>
      <c r="J27" s="35">
        <v>73.099999999999994</v>
      </c>
      <c r="K27" s="35">
        <v>73.3</v>
      </c>
      <c r="L27" s="35">
        <v>73.349999999999994</v>
      </c>
      <c r="M27" s="23"/>
      <c r="N27" s="32">
        <f t="shared" si="1"/>
        <v>73.058333333333337</v>
      </c>
      <c r="O27" s="36">
        <f>IF(N27="","",(N27-$F$27))</f>
        <v>0.30833333333333712</v>
      </c>
      <c r="P27" s="18"/>
      <c r="Q27" s="34"/>
      <c r="R27" s="18"/>
      <c r="S27" s="35"/>
      <c r="T27" s="35"/>
      <c r="U27" s="18"/>
      <c r="V27" s="35"/>
      <c r="W27" s="35"/>
      <c r="X27" s="35"/>
      <c r="Y27" s="35"/>
      <c r="Z27" s="35"/>
      <c r="AA27" s="18"/>
      <c r="AB27" s="60"/>
      <c r="AC27" s="61"/>
      <c r="AD27" s="18"/>
      <c r="AE27" s="62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18"/>
    </row>
    <row r="28" spans="1:45" ht="33" customHeight="1" x14ac:dyDescent="0.5">
      <c r="A28" s="2"/>
      <c r="B28" s="29">
        <v>5</v>
      </c>
      <c r="C28" s="30">
        <f t="shared" si="0"/>
        <v>45961</v>
      </c>
      <c r="D28" s="23"/>
      <c r="E28" s="23"/>
      <c r="F28" s="35">
        <v>73.150000000000006</v>
      </c>
      <c r="G28" s="35">
        <v>73.5</v>
      </c>
      <c r="H28" s="35">
        <v>73.849999999999994</v>
      </c>
      <c r="I28" s="35">
        <v>73.650000000000006</v>
      </c>
      <c r="J28" s="35">
        <v>73.849999999999994</v>
      </c>
      <c r="K28" s="35">
        <v>73.8</v>
      </c>
      <c r="L28" s="35">
        <v>73.75</v>
      </c>
      <c r="M28" s="23"/>
      <c r="N28" s="32">
        <f t="shared" si="1"/>
        <v>73.649999999999991</v>
      </c>
      <c r="O28" s="36">
        <f>IF(N28="","",(N28-$F$28))</f>
        <v>0.49999999999998579</v>
      </c>
      <c r="P28" s="18"/>
      <c r="Q28" s="34"/>
      <c r="R28" s="18"/>
      <c r="S28" s="35"/>
      <c r="T28" s="35"/>
      <c r="U28" s="18"/>
      <c r="V28" s="35"/>
      <c r="W28" s="35"/>
      <c r="X28" s="35"/>
      <c r="Y28" s="35"/>
      <c r="Z28" s="35"/>
      <c r="AA28" s="18"/>
      <c r="AB28" s="60"/>
      <c r="AC28" s="61"/>
      <c r="AD28" s="18"/>
      <c r="AE28" s="62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18"/>
    </row>
    <row r="29" spans="1:45" ht="35.25" customHeight="1" x14ac:dyDescent="0.5">
      <c r="A29" s="2"/>
      <c r="B29" s="29">
        <v>6</v>
      </c>
      <c r="C29" s="30">
        <f t="shared" si="0"/>
        <v>45968</v>
      </c>
      <c r="D29" s="23"/>
      <c r="E29" s="23"/>
      <c r="F29" s="35">
        <v>73.650000000000006</v>
      </c>
      <c r="G29" s="35">
        <v>73.400000000000006</v>
      </c>
      <c r="H29" s="35"/>
      <c r="I29" s="35">
        <v>73.5</v>
      </c>
      <c r="J29" s="35"/>
      <c r="K29" s="35">
        <v>72.900000000000006</v>
      </c>
      <c r="L29" s="35">
        <v>73.25</v>
      </c>
      <c r="M29" s="23"/>
      <c r="N29" s="32">
        <f t="shared" si="1"/>
        <v>73.34</v>
      </c>
      <c r="O29" s="36">
        <f>IF(N29="","",(N29-$F$29))</f>
        <v>-0.31000000000000227</v>
      </c>
      <c r="P29" s="18"/>
      <c r="Q29" s="34"/>
      <c r="R29" s="18"/>
      <c r="S29" s="35"/>
      <c r="T29" s="35"/>
      <c r="U29" s="18"/>
      <c r="V29" s="35"/>
      <c r="W29" s="35"/>
      <c r="X29" s="35"/>
      <c r="Y29" s="35"/>
      <c r="Z29" s="35"/>
      <c r="AA29" s="18"/>
      <c r="AB29" s="60"/>
      <c r="AC29" s="61"/>
      <c r="AD29" s="18"/>
      <c r="AE29" s="62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18"/>
    </row>
    <row r="30" spans="1:45" ht="32.25" customHeight="1" x14ac:dyDescent="0.5">
      <c r="A30" s="1"/>
      <c r="B30" s="29">
        <v>7</v>
      </c>
      <c r="C30" s="30">
        <f t="shared" si="0"/>
        <v>45975</v>
      </c>
      <c r="D30" s="23"/>
      <c r="E30" s="23"/>
      <c r="F30" s="35">
        <v>73.3</v>
      </c>
      <c r="G30" s="35">
        <v>73.349999999999994</v>
      </c>
      <c r="H30" s="35">
        <v>73.599999999999994</v>
      </c>
      <c r="I30" s="35">
        <v>74.150000000000006</v>
      </c>
      <c r="J30" s="35">
        <v>74.150000000000006</v>
      </c>
      <c r="K30" s="35">
        <v>73.900000000000006</v>
      </c>
      <c r="L30" s="35"/>
      <c r="M30" s="23"/>
      <c r="N30" s="32">
        <f t="shared" si="1"/>
        <v>73.74166666666666</v>
      </c>
      <c r="O30" s="36">
        <f>IF(N30="","",(N30-$F$30))</f>
        <v>0.44166666666666288</v>
      </c>
      <c r="P30" s="18"/>
      <c r="Q30" s="34"/>
      <c r="R30" s="18"/>
      <c r="S30" s="35"/>
      <c r="T30" s="35"/>
      <c r="U30" s="18"/>
      <c r="V30" s="35"/>
      <c r="W30" s="35"/>
      <c r="X30" s="35"/>
      <c r="Y30" s="35"/>
      <c r="Z30" s="35"/>
      <c r="AA30" s="18"/>
      <c r="AB30" s="60"/>
      <c r="AC30" s="61"/>
      <c r="AD30" s="18"/>
      <c r="AE30" s="62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18"/>
    </row>
    <row r="31" spans="1:45" ht="33.75" customHeight="1" x14ac:dyDescent="0.5">
      <c r="A31" s="2"/>
      <c r="B31" s="29">
        <v>8</v>
      </c>
      <c r="C31" s="30">
        <f t="shared" si="0"/>
        <v>45982</v>
      </c>
      <c r="D31" s="23"/>
      <c r="E31" s="23"/>
      <c r="F31" s="35">
        <v>73.75</v>
      </c>
      <c r="G31" s="35"/>
      <c r="H31" s="35">
        <v>73.75</v>
      </c>
      <c r="I31" s="35"/>
      <c r="J31" s="35"/>
      <c r="K31" s="35"/>
      <c r="L31" s="35"/>
      <c r="M31" s="23"/>
      <c r="N31" s="32">
        <f t="shared" si="1"/>
        <v>73.75</v>
      </c>
      <c r="O31" s="36">
        <f>IF(N31="","",(N31-$F$31))</f>
        <v>0</v>
      </c>
      <c r="P31" s="18"/>
      <c r="Q31" s="34"/>
      <c r="R31" s="18"/>
      <c r="S31" s="35"/>
      <c r="T31" s="35"/>
      <c r="U31" s="18"/>
      <c r="V31" s="35"/>
      <c r="W31" s="35"/>
      <c r="X31" s="35"/>
      <c r="Y31" s="35"/>
      <c r="Z31" s="35"/>
      <c r="AA31" s="18"/>
      <c r="AB31" s="60"/>
      <c r="AC31" s="61"/>
      <c r="AD31" s="18"/>
      <c r="AE31" s="62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18"/>
    </row>
    <row r="32" spans="1:45" ht="33" customHeight="1" x14ac:dyDescent="0.5">
      <c r="A32" s="2"/>
      <c r="B32" s="29">
        <v>9</v>
      </c>
      <c r="C32" s="30">
        <f t="shared" si="0"/>
        <v>45989</v>
      </c>
      <c r="D32" s="23"/>
      <c r="E32" s="23"/>
      <c r="F32" s="35"/>
      <c r="G32" s="35"/>
      <c r="H32" s="35"/>
      <c r="I32" s="35"/>
      <c r="J32" s="35"/>
      <c r="K32" s="35"/>
      <c r="L32" s="35"/>
      <c r="M32" s="23"/>
      <c r="N32" s="32" t="str">
        <f t="shared" si="1"/>
        <v/>
      </c>
      <c r="O32" s="36" t="str">
        <f>IF(N32="","",(N32-$F$32))</f>
        <v/>
      </c>
      <c r="P32" s="18"/>
      <c r="Q32" s="34"/>
      <c r="R32" s="18"/>
      <c r="S32" s="35"/>
      <c r="T32" s="35"/>
      <c r="U32" s="18"/>
      <c r="V32" s="35"/>
      <c r="W32" s="35"/>
      <c r="X32" s="35"/>
      <c r="Y32" s="35"/>
      <c r="Z32" s="35"/>
      <c r="AA32" s="18"/>
      <c r="AB32" s="60"/>
      <c r="AC32" s="61"/>
      <c r="AD32" s="18"/>
      <c r="AE32" s="62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18"/>
    </row>
    <row r="33" spans="1:45" ht="33" customHeight="1" x14ac:dyDescent="0.5">
      <c r="A33" s="2"/>
      <c r="B33" s="29">
        <v>10</v>
      </c>
      <c r="C33" s="30">
        <f t="shared" si="0"/>
        <v>45996</v>
      </c>
      <c r="D33" s="23"/>
      <c r="E33" s="23"/>
      <c r="F33" s="35"/>
      <c r="G33" s="35"/>
      <c r="H33" s="35"/>
      <c r="I33" s="35"/>
      <c r="J33" s="35"/>
      <c r="K33" s="35"/>
      <c r="L33" s="35"/>
      <c r="M33" s="23"/>
      <c r="N33" s="32" t="str">
        <f t="shared" si="1"/>
        <v/>
      </c>
      <c r="O33" s="36" t="str">
        <f>IF(N33="","",(N33-$F$33))</f>
        <v/>
      </c>
      <c r="P33" s="18"/>
      <c r="Q33" s="34"/>
      <c r="R33" s="18"/>
      <c r="S33" s="35"/>
      <c r="T33" s="35"/>
      <c r="U33" s="18"/>
      <c r="V33" s="35"/>
      <c r="W33" s="35"/>
      <c r="X33" s="35"/>
      <c r="Y33" s="35"/>
      <c r="Z33" s="35"/>
      <c r="AA33" s="18"/>
      <c r="AB33" s="60"/>
      <c r="AC33" s="61"/>
      <c r="AD33" s="18"/>
      <c r="AE33" s="62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18"/>
    </row>
    <row r="34" spans="1:45" ht="33" customHeight="1" x14ac:dyDescent="0.5">
      <c r="A34" s="2"/>
      <c r="B34" s="29">
        <v>11</v>
      </c>
      <c r="C34" s="30">
        <f t="shared" si="0"/>
        <v>46003</v>
      </c>
      <c r="D34" s="23"/>
      <c r="E34" s="23"/>
      <c r="F34" s="35"/>
      <c r="G34" s="35"/>
      <c r="H34" s="35"/>
      <c r="I34" s="35"/>
      <c r="J34" s="35"/>
      <c r="K34" s="35"/>
      <c r="L34" s="35"/>
      <c r="M34" s="23"/>
      <c r="N34" s="32" t="str">
        <f t="shared" si="1"/>
        <v/>
      </c>
      <c r="O34" s="36" t="str">
        <f>IF(N34="","",(N34-$F$34))</f>
        <v/>
      </c>
      <c r="P34" s="18"/>
      <c r="Q34" s="34"/>
      <c r="R34" s="18"/>
      <c r="S34" s="35"/>
      <c r="T34" s="35"/>
      <c r="U34" s="18"/>
      <c r="V34" s="35"/>
      <c r="W34" s="35"/>
      <c r="X34" s="35"/>
      <c r="Y34" s="35"/>
      <c r="Z34" s="35"/>
      <c r="AA34" s="18"/>
      <c r="AB34" s="60"/>
      <c r="AC34" s="61"/>
      <c r="AD34" s="18"/>
      <c r="AE34" s="62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18"/>
    </row>
    <row r="35" spans="1:45" ht="33" customHeight="1" x14ac:dyDescent="0.5">
      <c r="A35" s="2"/>
      <c r="B35" s="29">
        <v>12</v>
      </c>
      <c r="C35" s="30">
        <f t="shared" si="0"/>
        <v>46010</v>
      </c>
      <c r="D35" s="23"/>
      <c r="E35" s="23"/>
      <c r="F35" s="35"/>
      <c r="G35" s="35"/>
      <c r="H35" s="35"/>
      <c r="I35" s="35"/>
      <c r="J35" s="35"/>
      <c r="K35" s="35"/>
      <c r="L35" s="35"/>
      <c r="M35" s="23"/>
      <c r="N35" s="32" t="str">
        <f t="shared" si="1"/>
        <v/>
      </c>
      <c r="O35" s="36" t="str">
        <f>IF(N35="","",(N35-$F$35))</f>
        <v/>
      </c>
      <c r="P35" s="18"/>
      <c r="Q35" s="34"/>
      <c r="R35" s="18"/>
      <c r="S35" s="35"/>
      <c r="T35" s="35"/>
      <c r="U35" s="18"/>
      <c r="V35" s="35"/>
      <c r="W35" s="35"/>
      <c r="X35" s="35"/>
      <c r="Y35" s="35"/>
      <c r="Z35" s="35"/>
      <c r="AA35" s="18"/>
      <c r="AB35" s="60"/>
      <c r="AC35" s="61"/>
      <c r="AD35" s="18"/>
      <c r="AE35" s="62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18"/>
    </row>
    <row r="36" spans="1:45" ht="33" customHeight="1" x14ac:dyDescent="0.5">
      <c r="A36" s="2"/>
      <c r="B36" s="29">
        <v>13</v>
      </c>
      <c r="C36" s="30">
        <f t="shared" si="0"/>
        <v>46017</v>
      </c>
      <c r="D36" s="23"/>
      <c r="E36" s="23"/>
      <c r="F36" s="35"/>
      <c r="G36" s="35"/>
      <c r="H36" s="35"/>
      <c r="I36" s="35"/>
      <c r="J36" s="35"/>
      <c r="K36" s="35"/>
      <c r="L36" s="35"/>
      <c r="M36" s="23"/>
      <c r="N36" s="32" t="str">
        <f t="shared" si="1"/>
        <v/>
      </c>
      <c r="O36" s="36" t="str">
        <f>IF(N36="","",(N36-$F$36))</f>
        <v/>
      </c>
      <c r="P36" s="37"/>
      <c r="Q36" s="34"/>
      <c r="R36" s="18"/>
      <c r="S36" s="35"/>
      <c r="T36" s="35"/>
      <c r="U36" s="18"/>
      <c r="V36" s="35"/>
      <c r="W36" s="35"/>
      <c r="X36" s="35"/>
      <c r="Y36" s="35"/>
      <c r="Z36" s="35"/>
      <c r="AA36" s="18"/>
      <c r="AB36" s="60"/>
      <c r="AC36" s="61"/>
      <c r="AD36" s="18"/>
      <c r="AE36" s="62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18"/>
    </row>
    <row r="37" spans="1:45" ht="33" customHeight="1" x14ac:dyDescent="0.5">
      <c r="A37" s="2"/>
      <c r="B37" s="29">
        <v>14</v>
      </c>
      <c r="C37" s="30">
        <f t="shared" si="0"/>
        <v>46024</v>
      </c>
      <c r="D37" s="23"/>
      <c r="E37" s="23"/>
      <c r="F37" s="35"/>
      <c r="G37" s="35"/>
      <c r="H37" s="35"/>
      <c r="I37" s="35"/>
      <c r="J37" s="35"/>
      <c r="K37" s="35"/>
      <c r="L37" s="35"/>
      <c r="M37" s="23"/>
      <c r="N37" s="32" t="str">
        <f t="shared" si="1"/>
        <v/>
      </c>
      <c r="O37" s="36" t="str">
        <f>IF(N37="","",(N37-$F$37))</f>
        <v/>
      </c>
      <c r="P37" s="37"/>
      <c r="Q37" s="34"/>
      <c r="R37" s="18"/>
      <c r="S37" s="35"/>
      <c r="T37" s="35"/>
      <c r="U37" s="18"/>
      <c r="V37" s="35"/>
      <c r="W37" s="35"/>
      <c r="X37" s="35"/>
      <c r="Y37" s="35"/>
      <c r="Z37" s="35"/>
      <c r="AA37" s="18"/>
      <c r="AB37" s="60"/>
      <c r="AC37" s="61"/>
      <c r="AD37" s="18"/>
      <c r="AE37" s="62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18"/>
    </row>
    <row r="38" spans="1:45" ht="33.75" customHeight="1" x14ac:dyDescent="0.5">
      <c r="A38" s="1"/>
      <c r="B38" s="29">
        <v>15</v>
      </c>
      <c r="C38" s="30">
        <f t="shared" si="0"/>
        <v>46031</v>
      </c>
      <c r="D38" s="23"/>
      <c r="E38" s="23"/>
      <c r="F38" s="35"/>
      <c r="G38" s="35"/>
      <c r="H38" s="35"/>
      <c r="I38" s="35"/>
      <c r="J38" s="35"/>
      <c r="K38" s="35"/>
      <c r="L38" s="35"/>
      <c r="M38" s="23"/>
      <c r="N38" s="32" t="str">
        <f t="shared" si="1"/>
        <v/>
      </c>
      <c r="O38" s="36" t="str">
        <f>IF(N38="","",(N38-$F$38))</f>
        <v/>
      </c>
      <c r="P38" s="37"/>
      <c r="Q38" s="34"/>
      <c r="R38" s="18"/>
      <c r="S38" s="35"/>
      <c r="T38" s="35"/>
      <c r="U38" s="18"/>
      <c r="V38" s="35"/>
      <c r="W38" s="35"/>
      <c r="X38" s="35"/>
      <c r="Y38" s="35"/>
      <c r="Z38" s="35"/>
      <c r="AA38" s="18"/>
      <c r="AB38" s="60"/>
      <c r="AC38" s="61"/>
      <c r="AD38" s="18"/>
      <c r="AE38" s="62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18"/>
    </row>
    <row r="39" spans="1:45" ht="33.75" customHeight="1" x14ac:dyDescent="0.5">
      <c r="A39" s="1"/>
      <c r="B39" s="29">
        <v>16</v>
      </c>
      <c r="C39" s="30">
        <f t="shared" si="0"/>
        <v>46038</v>
      </c>
      <c r="D39" s="23"/>
      <c r="E39" s="23"/>
      <c r="F39" s="35"/>
      <c r="G39" s="35"/>
      <c r="H39" s="35"/>
      <c r="I39" s="35"/>
      <c r="J39" s="35"/>
      <c r="K39" s="35"/>
      <c r="L39" s="35"/>
      <c r="M39" s="23"/>
      <c r="N39" s="32" t="str">
        <f t="shared" si="1"/>
        <v/>
      </c>
      <c r="O39" s="36" t="str">
        <f>IF(N39="","",(N39-$F$39))</f>
        <v/>
      </c>
      <c r="P39" s="37"/>
      <c r="Q39" s="34"/>
      <c r="R39" s="18"/>
      <c r="S39" s="35"/>
      <c r="T39" s="35"/>
      <c r="U39" s="18"/>
      <c r="V39" s="35"/>
      <c r="W39" s="35"/>
      <c r="X39" s="35"/>
      <c r="Y39" s="35"/>
      <c r="Z39" s="35"/>
      <c r="AA39" s="18"/>
      <c r="AB39" s="60"/>
      <c r="AC39" s="61"/>
      <c r="AD39" s="18"/>
      <c r="AE39" s="62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18"/>
    </row>
    <row r="40" spans="1:45" ht="33.75" customHeight="1" x14ac:dyDescent="0.5">
      <c r="A40" s="1"/>
      <c r="B40" s="29">
        <v>17</v>
      </c>
      <c r="C40" s="30">
        <f t="shared" si="0"/>
        <v>46045</v>
      </c>
      <c r="D40" s="23"/>
      <c r="E40" s="23"/>
      <c r="F40" s="35"/>
      <c r="G40" s="35"/>
      <c r="H40" s="35"/>
      <c r="I40" s="35"/>
      <c r="J40" s="35"/>
      <c r="K40" s="35"/>
      <c r="L40" s="35"/>
      <c r="M40" s="23"/>
      <c r="N40" s="32" t="str">
        <f t="shared" si="1"/>
        <v/>
      </c>
      <c r="O40" s="36" t="str">
        <f>IF(N40="","",(N40-$F$40))</f>
        <v/>
      </c>
      <c r="P40" s="37"/>
      <c r="Q40" s="34"/>
      <c r="R40" s="18"/>
      <c r="S40" s="35"/>
      <c r="T40" s="35"/>
      <c r="U40" s="18"/>
      <c r="V40" s="35"/>
      <c r="W40" s="35"/>
      <c r="X40" s="35"/>
      <c r="Y40" s="35"/>
      <c r="Z40" s="35"/>
      <c r="AA40" s="18"/>
      <c r="AB40" s="60"/>
      <c r="AC40" s="61"/>
      <c r="AD40" s="18"/>
      <c r="AE40" s="62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18"/>
    </row>
    <row r="41" spans="1:45" ht="33.75" customHeight="1" x14ac:dyDescent="0.5">
      <c r="A41" s="1"/>
      <c r="B41" s="29">
        <v>18</v>
      </c>
      <c r="C41" s="30">
        <f t="shared" si="0"/>
        <v>46052</v>
      </c>
      <c r="D41" s="23"/>
      <c r="E41" s="23"/>
      <c r="F41" s="35"/>
      <c r="G41" s="35"/>
      <c r="H41" s="35"/>
      <c r="I41" s="35"/>
      <c r="J41" s="35"/>
      <c r="K41" s="35"/>
      <c r="L41" s="35"/>
      <c r="M41" s="23"/>
      <c r="N41" s="32" t="str">
        <f t="shared" si="1"/>
        <v/>
      </c>
      <c r="O41" s="36" t="str">
        <f>IF(N41="","",(N41-$F$41))</f>
        <v/>
      </c>
      <c r="P41" s="37"/>
      <c r="Q41" s="34"/>
      <c r="R41" s="18"/>
      <c r="S41" s="35"/>
      <c r="T41" s="35"/>
      <c r="U41" s="18"/>
      <c r="V41" s="35"/>
      <c r="W41" s="35"/>
      <c r="X41" s="35"/>
      <c r="Y41" s="35"/>
      <c r="Z41" s="35"/>
      <c r="AA41" s="18"/>
      <c r="AB41" s="60"/>
      <c r="AC41" s="61"/>
      <c r="AD41" s="18"/>
      <c r="AE41" s="62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18"/>
    </row>
    <row r="42" spans="1:45" ht="33.75" customHeight="1" x14ac:dyDescent="0.5">
      <c r="A42" s="1"/>
      <c r="B42" s="29">
        <v>19</v>
      </c>
      <c r="C42" s="30">
        <f t="shared" si="0"/>
        <v>46059</v>
      </c>
      <c r="D42" s="23"/>
      <c r="E42" s="23"/>
      <c r="F42" s="35"/>
      <c r="G42" s="35"/>
      <c r="H42" s="35"/>
      <c r="I42" s="35"/>
      <c r="J42" s="35"/>
      <c r="K42" s="35"/>
      <c r="L42" s="35"/>
      <c r="M42" s="23"/>
      <c r="N42" s="32" t="str">
        <f t="shared" si="1"/>
        <v/>
      </c>
      <c r="O42" s="36" t="str">
        <f>IF(N42="","",(N42-$F$42))</f>
        <v/>
      </c>
      <c r="P42" s="37"/>
      <c r="Q42" s="34"/>
      <c r="R42" s="18"/>
      <c r="S42" s="35"/>
      <c r="T42" s="35"/>
      <c r="U42" s="18"/>
      <c r="V42" s="35"/>
      <c r="W42" s="35"/>
      <c r="X42" s="35"/>
      <c r="Y42" s="35"/>
      <c r="Z42" s="35"/>
      <c r="AA42" s="18"/>
      <c r="AB42" s="60"/>
      <c r="AC42" s="61"/>
      <c r="AD42" s="18"/>
      <c r="AE42" s="62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18"/>
    </row>
    <row r="43" spans="1:45" ht="33.75" customHeight="1" x14ac:dyDescent="0.5">
      <c r="A43" s="1"/>
      <c r="B43" s="29">
        <v>20</v>
      </c>
      <c r="C43" s="30">
        <f t="shared" si="0"/>
        <v>46066</v>
      </c>
      <c r="D43" s="23"/>
      <c r="E43" s="23"/>
      <c r="F43" s="35"/>
      <c r="G43" s="35"/>
      <c r="H43" s="35"/>
      <c r="I43" s="35"/>
      <c r="J43" s="35"/>
      <c r="K43" s="35"/>
      <c r="L43" s="35"/>
      <c r="M43" s="23"/>
      <c r="N43" s="32" t="str">
        <f t="shared" si="1"/>
        <v/>
      </c>
      <c r="O43" s="36" t="str">
        <f>IF(N43="","",(N43-$F$43))</f>
        <v/>
      </c>
      <c r="P43" s="37"/>
      <c r="Q43" s="34"/>
      <c r="R43" s="18"/>
      <c r="S43" s="35"/>
      <c r="T43" s="35"/>
      <c r="U43" s="18"/>
      <c r="V43" s="35"/>
      <c r="W43" s="35"/>
      <c r="X43" s="35"/>
      <c r="Y43" s="35"/>
      <c r="Z43" s="35"/>
      <c r="AA43" s="18"/>
      <c r="AB43" s="60"/>
      <c r="AC43" s="61"/>
      <c r="AD43" s="18"/>
      <c r="AE43" s="62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18"/>
    </row>
    <row r="44" spans="1:45" ht="33.75" customHeight="1" x14ac:dyDescent="0.5">
      <c r="A44" s="1"/>
      <c r="B44" s="29">
        <v>21</v>
      </c>
      <c r="C44" s="30">
        <f t="shared" si="0"/>
        <v>46073</v>
      </c>
      <c r="D44" s="23"/>
      <c r="E44" s="23"/>
      <c r="F44" s="35"/>
      <c r="G44" s="35"/>
      <c r="H44" s="35"/>
      <c r="I44" s="35"/>
      <c r="J44" s="35"/>
      <c r="K44" s="35"/>
      <c r="L44" s="35"/>
      <c r="M44" s="23"/>
      <c r="N44" s="32" t="str">
        <f t="shared" si="1"/>
        <v/>
      </c>
      <c r="O44" s="36" t="str">
        <f>IF(N44="","",(N44-$F$44))</f>
        <v/>
      </c>
      <c r="P44" s="37"/>
      <c r="Q44" s="34"/>
      <c r="R44" s="18"/>
      <c r="S44" s="35"/>
      <c r="T44" s="35"/>
      <c r="U44" s="18"/>
      <c r="V44" s="35"/>
      <c r="W44" s="35"/>
      <c r="X44" s="35"/>
      <c r="Y44" s="35"/>
      <c r="Z44" s="35"/>
      <c r="AA44" s="18"/>
      <c r="AB44" s="60"/>
      <c r="AC44" s="61"/>
      <c r="AD44" s="18"/>
      <c r="AE44" s="62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18"/>
    </row>
    <row r="45" spans="1:45" ht="33.75" customHeight="1" x14ac:dyDescent="0.5">
      <c r="A45" s="1"/>
      <c r="B45" s="29">
        <v>22</v>
      </c>
      <c r="C45" s="30">
        <f t="shared" si="0"/>
        <v>46080</v>
      </c>
      <c r="D45" s="23"/>
      <c r="E45" s="23"/>
      <c r="F45" s="35"/>
      <c r="G45" s="35"/>
      <c r="H45" s="35"/>
      <c r="I45" s="35"/>
      <c r="J45" s="35"/>
      <c r="K45" s="35"/>
      <c r="L45" s="35"/>
      <c r="M45" s="23"/>
      <c r="N45" s="32" t="str">
        <f t="shared" si="1"/>
        <v/>
      </c>
      <c r="O45" s="36" t="str">
        <f>IF(N45="","",(N45-$F$45))</f>
        <v/>
      </c>
      <c r="P45" s="37"/>
      <c r="Q45" s="34"/>
      <c r="R45" s="18"/>
      <c r="S45" s="35"/>
      <c r="T45" s="35"/>
      <c r="U45" s="18"/>
      <c r="V45" s="35"/>
      <c r="W45" s="35"/>
      <c r="X45" s="35"/>
      <c r="Y45" s="35"/>
      <c r="Z45" s="35"/>
      <c r="AA45" s="18"/>
      <c r="AB45" s="60"/>
      <c r="AC45" s="61"/>
      <c r="AD45" s="18"/>
      <c r="AE45" s="62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18"/>
    </row>
    <row r="46" spans="1:45" ht="33.75" customHeight="1" x14ac:dyDescent="0.5">
      <c r="A46" s="1"/>
      <c r="B46" s="29">
        <v>23</v>
      </c>
      <c r="C46" s="30">
        <f t="shared" si="0"/>
        <v>46087</v>
      </c>
      <c r="D46" s="23"/>
      <c r="E46" s="23"/>
      <c r="F46" s="35"/>
      <c r="G46" s="35"/>
      <c r="H46" s="35"/>
      <c r="I46" s="35"/>
      <c r="J46" s="35"/>
      <c r="K46" s="35"/>
      <c r="L46" s="35"/>
      <c r="M46" s="23"/>
      <c r="N46" s="32" t="str">
        <f t="shared" si="1"/>
        <v/>
      </c>
      <c r="O46" s="36"/>
      <c r="P46" s="37"/>
      <c r="Q46" s="34"/>
      <c r="R46" s="18"/>
      <c r="S46" s="35"/>
      <c r="T46" s="35"/>
      <c r="U46" s="18"/>
      <c r="V46" s="35"/>
      <c r="W46" s="35"/>
      <c r="X46" s="35"/>
      <c r="Y46" s="35"/>
      <c r="Z46" s="35"/>
      <c r="AA46" s="18"/>
      <c r="AB46" s="60"/>
      <c r="AC46" s="61"/>
      <c r="AD46" s="18"/>
      <c r="AE46" s="62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18"/>
    </row>
    <row r="47" spans="1:45" ht="33.75" customHeight="1" x14ac:dyDescent="0.5">
      <c r="A47" s="1"/>
      <c r="B47" s="29">
        <v>24</v>
      </c>
      <c r="C47" s="30">
        <f t="shared" si="0"/>
        <v>46094</v>
      </c>
      <c r="D47" s="23"/>
      <c r="E47" s="23"/>
      <c r="F47" s="35"/>
      <c r="G47" s="35"/>
      <c r="H47" s="35"/>
      <c r="I47" s="35"/>
      <c r="J47" s="35"/>
      <c r="K47" s="35"/>
      <c r="L47" s="35"/>
      <c r="M47" s="23"/>
      <c r="N47" s="32" t="str">
        <f t="shared" si="1"/>
        <v/>
      </c>
      <c r="O47" s="36"/>
      <c r="P47" s="37"/>
      <c r="Q47" s="34"/>
      <c r="R47" s="18"/>
      <c r="S47" s="35"/>
      <c r="T47" s="35"/>
      <c r="U47" s="18"/>
      <c r="V47" s="35"/>
      <c r="W47" s="35"/>
      <c r="X47" s="35"/>
      <c r="Y47" s="35"/>
      <c r="Z47" s="35"/>
      <c r="AA47" s="18"/>
      <c r="AB47" s="60"/>
      <c r="AC47" s="61"/>
      <c r="AD47" s="18"/>
      <c r="AE47" s="62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18"/>
    </row>
    <row r="48" spans="1:45" ht="33.75" customHeight="1" x14ac:dyDescent="0.5">
      <c r="A48" s="1"/>
      <c r="B48" s="29">
        <v>25</v>
      </c>
      <c r="C48" s="30">
        <f t="shared" si="0"/>
        <v>46101</v>
      </c>
      <c r="D48" s="23"/>
      <c r="E48" s="23"/>
      <c r="F48" s="35"/>
      <c r="G48" s="35"/>
      <c r="H48" s="35"/>
      <c r="I48" s="35"/>
      <c r="J48" s="35"/>
      <c r="K48" s="35"/>
      <c r="L48" s="35"/>
      <c r="M48" s="23"/>
      <c r="N48" s="32" t="str">
        <f t="shared" si="1"/>
        <v/>
      </c>
      <c r="O48" s="36"/>
      <c r="P48" s="37"/>
      <c r="Q48" s="34"/>
      <c r="R48" s="18"/>
      <c r="S48" s="35"/>
      <c r="T48" s="35"/>
      <c r="U48" s="18"/>
      <c r="V48" s="35"/>
      <c r="W48" s="35"/>
      <c r="X48" s="35"/>
      <c r="Y48" s="35"/>
      <c r="Z48" s="35"/>
      <c r="AA48" s="18"/>
      <c r="AB48" s="60"/>
      <c r="AC48" s="61"/>
      <c r="AD48" s="18"/>
      <c r="AE48" s="62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18"/>
    </row>
    <row r="49" spans="1:45" ht="33.75" customHeight="1" x14ac:dyDescent="0.5">
      <c r="A49" s="1"/>
      <c r="B49" s="29">
        <v>26</v>
      </c>
      <c r="C49" s="30">
        <f t="shared" si="0"/>
        <v>46108</v>
      </c>
      <c r="D49" s="23"/>
      <c r="E49" s="23"/>
      <c r="F49" s="35"/>
      <c r="G49" s="35"/>
      <c r="H49" s="35"/>
      <c r="I49" s="35"/>
      <c r="J49" s="35"/>
      <c r="K49" s="35"/>
      <c r="L49" s="35"/>
      <c r="M49" s="23"/>
      <c r="N49" s="32" t="str">
        <f t="shared" si="1"/>
        <v/>
      </c>
      <c r="O49" s="36"/>
      <c r="P49" s="37"/>
      <c r="Q49" s="34"/>
      <c r="R49" s="18"/>
      <c r="S49" s="35"/>
      <c r="T49" s="35"/>
      <c r="U49" s="18"/>
      <c r="V49" s="35"/>
      <c r="W49" s="35"/>
      <c r="X49" s="35"/>
      <c r="Y49" s="35"/>
      <c r="Z49" s="35"/>
      <c r="AA49" s="18"/>
      <c r="AB49" s="60"/>
      <c r="AC49" s="61"/>
      <c r="AD49" s="18"/>
      <c r="AE49" s="62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18"/>
    </row>
    <row r="50" spans="1:45" ht="33.75" customHeight="1" x14ac:dyDescent="0.5">
      <c r="A50" s="1"/>
      <c r="B50" s="29">
        <v>27</v>
      </c>
      <c r="C50" s="30">
        <f t="shared" si="0"/>
        <v>46115</v>
      </c>
      <c r="D50" s="23"/>
      <c r="E50" s="23"/>
      <c r="F50" s="35"/>
      <c r="G50" s="35"/>
      <c r="H50" s="35"/>
      <c r="I50" s="35"/>
      <c r="J50" s="35"/>
      <c r="K50" s="35"/>
      <c r="L50" s="35"/>
      <c r="M50" s="23"/>
      <c r="N50" s="32" t="str">
        <f t="shared" si="1"/>
        <v/>
      </c>
      <c r="O50" s="36"/>
      <c r="P50" s="37"/>
      <c r="Q50" s="34"/>
      <c r="R50" s="18"/>
      <c r="S50" s="35"/>
      <c r="T50" s="35"/>
      <c r="U50" s="18"/>
      <c r="V50" s="35"/>
      <c r="W50" s="35"/>
      <c r="X50" s="35"/>
      <c r="Y50" s="35"/>
      <c r="Z50" s="35"/>
      <c r="AA50" s="18"/>
      <c r="AB50" s="60"/>
      <c r="AC50" s="61"/>
      <c r="AD50" s="18"/>
      <c r="AE50" s="62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18"/>
    </row>
    <row r="51" spans="1:45" ht="33.75" customHeight="1" x14ac:dyDescent="0.5">
      <c r="A51" s="1"/>
      <c r="B51" s="29">
        <v>28</v>
      </c>
      <c r="C51" s="30">
        <f t="shared" si="0"/>
        <v>46122</v>
      </c>
      <c r="D51" s="23"/>
      <c r="E51" s="23"/>
      <c r="F51" s="35"/>
      <c r="G51" s="35"/>
      <c r="H51" s="35"/>
      <c r="I51" s="35"/>
      <c r="J51" s="35"/>
      <c r="K51" s="35"/>
      <c r="L51" s="35"/>
      <c r="M51" s="23"/>
      <c r="N51" s="32" t="str">
        <f t="shared" si="1"/>
        <v/>
      </c>
      <c r="O51" s="36"/>
      <c r="P51" s="37"/>
      <c r="Q51" s="34"/>
      <c r="R51" s="18"/>
      <c r="S51" s="35"/>
      <c r="T51" s="35"/>
      <c r="U51" s="18"/>
      <c r="V51" s="35"/>
      <c r="W51" s="35"/>
      <c r="X51" s="35"/>
      <c r="Y51" s="35"/>
      <c r="Z51" s="35"/>
      <c r="AA51" s="18"/>
      <c r="AB51" s="60"/>
      <c r="AC51" s="61"/>
      <c r="AD51" s="18"/>
      <c r="AE51" s="62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18"/>
    </row>
    <row r="52" spans="1:45" ht="33.75" customHeight="1" x14ac:dyDescent="0.5">
      <c r="A52" s="1"/>
      <c r="B52" s="29">
        <v>29</v>
      </c>
      <c r="C52" s="30">
        <f t="shared" si="0"/>
        <v>46129</v>
      </c>
      <c r="D52" s="23"/>
      <c r="E52" s="23"/>
      <c r="F52" s="35"/>
      <c r="G52" s="35"/>
      <c r="H52" s="35"/>
      <c r="I52" s="35"/>
      <c r="J52" s="35"/>
      <c r="K52" s="35"/>
      <c r="L52" s="35"/>
      <c r="M52" s="23"/>
      <c r="N52" s="32" t="str">
        <f t="shared" si="1"/>
        <v/>
      </c>
      <c r="O52" s="36"/>
      <c r="P52" s="37"/>
      <c r="Q52" s="34"/>
      <c r="R52" s="18"/>
      <c r="S52" s="35"/>
      <c r="T52" s="35"/>
      <c r="U52" s="18"/>
      <c r="V52" s="35"/>
      <c r="W52" s="35"/>
      <c r="X52" s="35"/>
      <c r="Y52" s="35"/>
      <c r="Z52" s="35"/>
      <c r="AA52" s="18"/>
      <c r="AB52" s="60"/>
      <c r="AC52" s="61"/>
      <c r="AD52" s="18"/>
      <c r="AE52" s="62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18"/>
    </row>
    <row r="53" spans="1:45" ht="33.75" customHeight="1" x14ac:dyDescent="0.5">
      <c r="A53" s="1"/>
      <c r="B53" s="29">
        <v>30</v>
      </c>
      <c r="C53" s="30">
        <f t="shared" si="0"/>
        <v>46136</v>
      </c>
      <c r="D53" s="23"/>
      <c r="E53" s="23"/>
      <c r="F53" s="35"/>
      <c r="G53" s="35"/>
      <c r="H53" s="35"/>
      <c r="I53" s="35"/>
      <c r="J53" s="35"/>
      <c r="K53" s="35"/>
      <c r="L53" s="35"/>
      <c r="M53" s="23"/>
      <c r="N53" s="32" t="str">
        <f t="shared" si="1"/>
        <v/>
      </c>
      <c r="O53" s="36"/>
      <c r="P53" s="37"/>
      <c r="Q53" s="34"/>
      <c r="R53" s="18"/>
      <c r="S53" s="35"/>
      <c r="T53" s="35"/>
      <c r="U53" s="18"/>
      <c r="V53" s="35"/>
      <c r="W53" s="35"/>
      <c r="X53" s="35"/>
      <c r="Y53" s="35"/>
      <c r="Z53" s="35"/>
      <c r="AA53" s="18"/>
      <c r="AB53" s="60"/>
      <c r="AC53" s="61"/>
      <c r="AD53" s="18"/>
      <c r="AE53" s="62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18"/>
    </row>
    <row r="54" spans="1:45" ht="33.75" customHeight="1" x14ac:dyDescent="0.5">
      <c r="A54" s="1"/>
      <c r="B54" s="29">
        <v>31</v>
      </c>
      <c r="C54" s="30">
        <f t="shared" si="0"/>
        <v>46143</v>
      </c>
      <c r="D54" s="23"/>
      <c r="E54" s="23"/>
      <c r="F54" s="35"/>
      <c r="G54" s="35"/>
      <c r="H54" s="35"/>
      <c r="I54" s="35"/>
      <c r="J54" s="35"/>
      <c r="K54" s="35"/>
      <c r="L54" s="35"/>
      <c r="M54" s="23"/>
      <c r="N54" s="32" t="str">
        <f t="shared" si="1"/>
        <v/>
      </c>
      <c r="O54" s="36"/>
      <c r="P54" s="37"/>
      <c r="Q54" s="34"/>
      <c r="R54" s="18"/>
      <c r="S54" s="35"/>
      <c r="T54" s="35"/>
      <c r="U54" s="18"/>
      <c r="V54" s="35"/>
      <c r="W54" s="35"/>
      <c r="X54" s="35"/>
      <c r="Y54" s="35"/>
      <c r="Z54" s="35"/>
      <c r="AA54" s="18"/>
      <c r="AB54" s="60"/>
      <c r="AC54" s="61"/>
      <c r="AD54" s="18"/>
      <c r="AE54" s="62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18"/>
    </row>
    <row r="55" spans="1:45" ht="33.75" customHeight="1" x14ac:dyDescent="0.5">
      <c r="A55" s="1"/>
      <c r="B55" s="29">
        <v>32</v>
      </c>
      <c r="C55" s="30">
        <f t="shared" si="0"/>
        <v>46150</v>
      </c>
      <c r="D55" s="23"/>
      <c r="E55" s="23"/>
      <c r="F55" s="35"/>
      <c r="G55" s="35"/>
      <c r="H55" s="35"/>
      <c r="I55" s="35"/>
      <c r="J55" s="35"/>
      <c r="K55" s="35"/>
      <c r="L55" s="35"/>
      <c r="M55" s="23"/>
      <c r="N55" s="32" t="str">
        <f t="shared" si="1"/>
        <v/>
      </c>
      <c r="O55" s="36"/>
      <c r="P55" s="37"/>
      <c r="Q55" s="34"/>
      <c r="R55" s="18"/>
      <c r="S55" s="35"/>
      <c r="T55" s="35"/>
      <c r="U55" s="18"/>
      <c r="V55" s="35"/>
      <c r="W55" s="35"/>
      <c r="X55" s="35"/>
      <c r="Y55" s="35"/>
      <c r="Z55" s="35"/>
      <c r="AA55" s="18"/>
      <c r="AB55" s="60"/>
      <c r="AC55" s="61"/>
      <c r="AD55" s="18"/>
      <c r="AE55" s="62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18"/>
    </row>
    <row r="56" spans="1:45" ht="33.75" customHeight="1" x14ac:dyDescent="0.5">
      <c r="A56" s="1"/>
      <c r="B56" s="29">
        <v>33</v>
      </c>
      <c r="C56" s="30">
        <f t="shared" si="0"/>
        <v>46157</v>
      </c>
      <c r="D56" s="23"/>
      <c r="E56" s="23"/>
      <c r="F56" s="35"/>
      <c r="G56" s="35"/>
      <c r="H56" s="35"/>
      <c r="I56" s="35"/>
      <c r="J56" s="35"/>
      <c r="K56" s="35"/>
      <c r="L56" s="35"/>
      <c r="M56" s="23"/>
      <c r="N56" s="32" t="str">
        <f t="shared" si="1"/>
        <v/>
      </c>
      <c r="O56" s="36"/>
      <c r="P56" s="37"/>
      <c r="Q56" s="34"/>
      <c r="R56" s="18"/>
      <c r="S56" s="35"/>
      <c r="T56" s="35"/>
      <c r="U56" s="18"/>
      <c r="V56" s="35"/>
      <c r="W56" s="35"/>
      <c r="X56" s="35"/>
      <c r="Y56" s="35"/>
      <c r="Z56" s="35"/>
      <c r="AA56" s="18"/>
      <c r="AB56" s="60"/>
      <c r="AC56" s="61"/>
      <c r="AD56" s="18"/>
      <c r="AE56" s="62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18"/>
    </row>
    <row r="57" spans="1:45" ht="33.75" customHeight="1" x14ac:dyDescent="0.5">
      <c r="A57" s="1"/>
      <c r="B57" s="29">
        <v>34</v>
      </c>
      <c r="C57" s="30">
        <f t="shared" si="0"/>
        <v>46164</v>
      </c>
      <c r="D57" s="23"/>
      <c r="E57" s="23"/>
      <c r="F57" s="35"/>
      <c r="G57" s="35"/>
      <c r="H57" s="35"/>
      <c r="I57" s="35"/>
      <c r="J57" s="35"/>
      <c r="K57" s="35"/>
      <c r="L57" s="35"/>
      <c r="M57" s="23"/>
      <c r="N57" s="32" t="str">
        <f t="shared" si="1"/>
        <v/>
      </c>
      <c r="O57" s="36"/>
      <c r="P57" s="37"/>
      <c r="Q57" s="34"/>
      <c r="R57" s="18"/>
      <c r="S57" s="35"/>
      <c r="T57" s="35"/>
      <c r="U57" s="18"/>
      <c r="V57" s="35"/>
      <c r="W57" s="35"/>
      <c r="X57" s="35"/>
      <c r="Y57" s="35"/>
      <c r="Z57" s="35"/>
      <c r="AA57" s="18"/>
      <c r="AB57" s="60"/>
      <c r="AC57" s="61"/>
      <c r="AD57" s="18"/>
      <c r="AE57" s="62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18"/>
    </row>
    <row r="58" spans="1:45" ht="33.75" customHeight="1" x14ac:dyDescent="0.5">
      <c r="A58" s="1"/>
      <c r="B58" s="29">
        <v>35</v>
      </c>
      <c r="C58" s="30">
        <f t="shared" si="0"/>
        <v>46171</v>
      </c>
      <c r="D58" s="23"/>
      <c r="E58" s="23"/>
      <c r="F58" s="35"/>
      <c r="G58" s="35"/>
      <c r="H58" s="35"/>
      <c r="I58" s="35"/>
      <c r="J58" s="35"/>
      <c r="K58" s="35"/>
      <c r="L58" s="35"/>
      <c r="M58" s="23"/>
      <c r="N58" s="32" t="str">
        <f t="shared" si="1"/>
        <v/>
      </c>
      <c r="O58" s="36"/>
      <c r="P58" s="37"/>
      <c r="Q58" s="34"/>
      <c r="R58" s="18"/>
      <c r="S58" s="35"/>
      <c r="T58" s="35"/>
      <c r="U58" s="18"/>
      <c r="V58" s="35"/>
      <c r="W58" s="35"/>
      <c r="X58" s="35"/>
      <c r="Y58" s="35"/>
      <c r="Z58" s="35"/>
      <c r="AA58" s="18"/>
      <c r="AB58" s="60"/>
      <c r="AC58" s="61"/>
      <c r="AD58" s="18"/>
      <c r="AE58" s="62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18"/>
    </row>
    <row r="59" spans="1:45" ht="33.75" customHeight="1" x14ac:dyDescent="0.5">
      <c r="A59" s="1"/>
      <c r="B59" s="29">
        <v>36</v>
      </c>
      <c r="C59" s="30">
        <f t="shared" si="0"/>
        <v>46178</v>
      </c>
      <c r="D59" s="23"/>
      <c r="E59" s="23"/>
      <c r="F59" s="35"/>
      <c r="G59" s="35"/>
      <c r="H59" s="35"/>
      <c r="I59" s="35"/>
      <c r="J59" s="35"/>
      <c r="K59" s="35"/>
      <c r="L59" s="35"/>
      <c r="M59" s="23"/>
      <c r="N59" s="32" t="str">
        <f t="shared" si="1"/>
        <v/>
      </c>
      <c r="O59" s="36"/>
      <c r="P59" s="37"/>
      <c r="Q59" s="34"/>
      <c r="R59" s="18"/>
      <c r="S59" s="35"/>
      <c r="T59" s="35"/>
      <c r="U59" s="18"/>
      <c r="V59" s="35"/>
      <c r="W59" s="35"/>
      <c r="X59" s="35"/>
      <c r="Y59" s="35"/>
      <c r="Z59" s="35"/>
      <c r="AA59" s="18"/>
      <c r="AB59" s="60"/>
      <c r="AC59" s="61"/>
      <c r="AD59" s="18"/>
      <c r="AE59" s="62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18"/>
    </row>
    <row r="60" spans="1:45" ht="33.75" customHeight="1" x14ac:dyDescent="0.5">
      <c r="A60" s="1"/>
      <c r="B60" s="29">
        <v>37</v>
      </c>
      <c r="C60" s="30">
        <f t="shared" si="0"/>
        <v>46185</v>
      </c>
      <c r="D60" s="23"/>
      <c r="E60" s="23"/>
      <c r="F60" s="35"/>
      <c r="G60" s="35"/>
      <c r="H60" s="35"/>
      <c r="I60" s="35"/>
      <c r="J60" s="35"/>
      <c r="K60" s="35"/>
      <c r="L60" s="35"/>
      <c r="M60" s="23"/>
      <c r="N60" s="32" t="str">
        <f t="shared" si="1"/>
        <v/>
      </c>
      <c r="O60" s="36"/>
      <c r="P60" s="37"/>
      <c r="Q60" s="34"/>
      <c r="R60" s="18"/>
      <c r="S60" s="35"/>
      <c r="T60" s="35"/>
      <c r="U60" s="18"/>
      <c r="V60" s="35"/>
      <c r="W60" s="35"/>
      <c r="X60" s="35"/>
      <c r="Y60" s="35"/>
      <c r="Z60" s="35"/>
      <c r="AA60" s="18"/>
      <c r="AB60" s="60"/>
      <c r="AC60" s="61"/>
      <c r="AD60" s="18"/>
      <c r="AE60" s="62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18"/>
    </row>
    <row r="61" spans="1:45" ht="33.75" customHeight="1" x14ac:dyDescent="0.5">
      <c r="A61" s="1"/>
      <c r="B61" s="29">
        <v>38</v>
      </c>
      <c r="C61" s="30">
        <f t="shared" si="0"/>
        <v>46192</v>
      </c>
      <c r="D61" s="23"/>
      <c r="E61" s="23"/>
      <c r="F61" s="35"/>
      <c r="G61" s="35"/>
      <c r="H61" s="35"/>
      <c r="I61" s="35"/>
      <c r="J61" s="35"/>
      <c r="K61" s="35"/>
      <c r="L61" s="35"/>
      <c r="M61" s="23"/>
      <c r="N61" s="32" t="str">
        <f t="shared" si="1"/>
        <v/>
      </c>
      <c r="O61" s="36"/>
      <c r="P61" s="37"/>
      <c r="Q61" s="34"/>
      <c r="R61" s="18"/>
      <c r="S61" s="35"/>
      <c r="T61" s="35"/>
      <c r="U61" s="18"/>
      <c r="V61" s="35"/>
      <c r="W61" s="35"/>
      <c r="X61" s="35"/>
      <c r="Y61" s="35"/>
      <c r="Z61" s="35"/>
      <c r="AA61" s="18"/>
      <c r="AB61" s="60"/>
      <c r="AC61" s="61"/>
      <c r="AD61" s="18"/>
      <c r="AE61" s="62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18"/>
    </row>
    <row r="62" spans="1:45" ht="33.75" customHeight="1" x14ac:dyDescent="0.5">
      <c r="A62" s="1"/>
      <c r="B62" s="29">
        <v>39</v>
      </c>
      <c r="C62" s="30">
        <f t="shared" si="0"/>
        <v>46199</v>
      </c>
      <c r="D62" s="23"/>
      <c r="E62" s="23"/>
      <c r="F62" s="35"/>
      <c r="G62" s="35"/>
      <c r="H62" s="35"/>
      <c r="I62" s="35"/>
      <c r="J62" s="35"/>
      <c r="K62" s="35"/>
      <c r="L62" s="35"/>
      <c r="M62" s="23"/>
      <c r="N62" s="32" t="str">
        <f t="shared" si="1"/>
        <v/>
      </c>
      <c r="O62" s="36"/>
      <c r="P62" s="37"/>
      <c r="Q62" s="34"/>
      <c r="R62" s="18"/>
      <c r="S62" s="35"/>
      <c r="T62" s="35"/>
      <c r="U62" s="18"/>
      <c r="V62" s="35"/>
      <c r="W62" s="35"/>
      <c r="X62" s="35"/>
      <c r="Y62" s="35"/>
      <c r="Z62" s="35"/>
      <c r="AA62" s="18"/>
      <c r="AB62" s="60"/>
      <c r="AC62" s="61"/>
      <c r="AD62" s="18"/>
      <c r="AE62" s="62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18"/>
    </row>
    <row r="63" spans="1:45" ht="33.75" customHeight="1" x14ac:dyDescent="0.5">
      <c r="A63" s="1"/>
      <c r="B63" s="29">
        <v>40</v>
      </c>
      <c r="C63" s="30">
        <f t="shared" si="0"/>
        <v>46206</v>
      </c>
      <c r="D63" s="23"/>
      <c r="E63" s="23"/>
      <c r="F63" s="35"/>
      <c r="G63" s="35"/>
      <c r="H63" s="35"/>
      <c r="I63" s="35"/>
      <c r="J63" s="35"/>
      <c r="K63" s="35"/>
      <c r="L63" s="35"/>
      <c r="M63" s="23"/>
      <c r="N63" s="32" t="str">
        <f t="shared" si="1"/>
        <v/>
      </c>
      <c r="O63" s="36"/>
      <c r="P63" s="37"/>
      <c r="Q63" s="34"/>
      <c r="R63" s="18"/>
      <c r="S63" s="35"/>
      <c r="T63" s="35"/>
      <c r="U63" s="18"/>
      <c r="V63" s="35"/>
      <c r="W63" s="35"/>
      <c r="X63" s="35"/>
      <c r="Y63" s="35"/>
      <c r="Z63" s="35"/>
      <c r="AA63" s="18"/>
      <c r="AB63" s="60"/>
      <c r="AC63" s="61"/>
      <c r="AD63" s="18"/>
      <c r="AE63" s="62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18"/>
    </row>
    <row r="64" spans="1:45" ht="33.75" customHeight="1" x14ac:dyDescent="0.5">
      <c r="A64" s="1"/>
      <c r="B64" s="29">
        <v>41</v>
      </c>
      <c r="C64" s="30">
        <f t="shared" si="0"/>
        <v>46213</v>
      </c>
      <c r="D64" s="23"/>
      <c r="E64" s="23"/>
      <c r="F64" s="35"/>
      <c r="G64" s="35"/>
      <c r="H64" s="35"/>
      <c r="I64" s="35"/>
      <c r="J64" s="35"/>
      <c r="K64" s="35"/>
      <c r="L64" s="35"/>
      <c r="M64" s="23"/>
      <c r="N64" s="32" t="str">
        <f t="shared" si="1"/>
        <v/>
      </c>
      <c r="O64" s="36"/>
      <c r="P64" s="37"/>
      <c r="Q64" s="34"/>
      <c r="R64" s="18"/>
      <c r="S64" s="35"/>
      <c r="T64" s="35"/>
      <c r="U64" s="18"/>
      <c r="V64" s="35"/>
      <c r="W64" s="35"/>
      <c r="X64" s="35"/>
      <c r="Y64" s="35"/>
      <c r="Z64" s="35"/>
      <c r="AA64" s="18"/>
      <c r="AB64" s="60"/>
      <c r="AC64" s="61"/>
      <c r="AD64" s="18"/>
      <c r="AE64" s="62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18"/>
    </row>
    <row r="65" spans="1:45" ht="33.75" customHeight="1" x14ac:dyDescent="0.5">
      <c r="A65" s="1"/>
      <c r="B65" s="29">
        <v>42</v>
      </c>
      <c r="C65" s="30">
        <f t="shared" si="0"/>
        <v>46220</v>
      </c>
      <c r="D65" s="23"/>
      <c r="E65" s="23"/>
      <c r="F65" s="35"/>
      <c r="G65" s="35"/>
      <c r="H65" s="35"/>
      <c r="I65" s="35"/>
      <c r="J65" s="35"/>
      <c r="K65" s="35"/>
      <c r="L65" s="35"/>
      <c r="M65" s="23"/>
      <c r="N65" s="32" t="str">
        <f t="shared" si="1"/>
        <v/>
      </c>
      <c r="O65" s="36"/>
      <c r="P65" s="37"/>
      <c r="Q65" s="34"/>
      <c r="R65" s="18"/>
      <c r="S65" s="35"/>
      <c r="T65" s="35"/>
      <c r="U65" s="18"/>
      <c r="V65" s="35"/>
      <c r="W65" s="35"/>
      <c r="X65" s="35"/>
      <c r="Y65" s="35"/>
      <c r="Z65" s="35"/>
      <c r="AA65" s="18"/>
      <c r="AB65" s="60"/>
      <c r="AC65" s="61"/>
      <c r="AD65" s="18"/>
      <c r="AE65" s="62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18"/>
    </row>
    <row r="66" spans="1:45" ht="33.75" customHeight="1" x14ac:dyDescent="0.5">
      <c r="A66" s="1"/>
      <c r="B66" s="29">
        <v>43</v>
      </c>
      <c r="C66" s="30">
        <f t="shared" si="0"/>
        <v>46227</v>
      </c>
      <c r="D66" s="23"/>
      <c r="E66" s="23"/>
      <c r="F66" s="35"/>
      <c r="G66" s="35"/>
      <c r="H66" s="35"/>
      <c r="I66" s="35"/>
      <c r="J66" s="35"/>
      <c r="K66" s="35"/>
      <c r="L66" s="35"/>
      <c r="M66" s="23"/>
      <c r="N66" s="32" t="str">
        <f t="shared" si="1"/>
        <v/>
      </c>
      <c r="O66" s="36"/>
      <c r="P66" s="37"/>
      <c r="Q66" s="34"/>
      <c r="R66" s="18"/>
      <c r="S66" s="35"/>
      <c r="T66" s="35"/>
      <c r="U66" s="18"/>
      <c r="V66" s="35"/>
      <c r="W66" s="35"/>
      <c r="X66" s="35"/>
      <c r="Y66" s="35"/>
      <c r="Z66" s="35"/>
      <c r="AA66" s="18"/>
      <c r="AB66" s="60"/>
      <c r="AC66" s="61"/>
      <c r="AD66" s="18"/>
      <c r="AE66" s="62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18"/>
    </row>
    <row r="67" spans="1:45" ht="33.75" customHeight="1" x14ac:dyDescent="0.5">
      <c r="A67" s="1"/>
      <c r="B67" s="29">
        <v>44</v>
      </c>
      <c r="C67" s="30">
        <f t="shared" si="0"/>
        <v>46234</v>
      </c>
      <c r="D67" s="23"/>
      <c r="E67" s="23"/>
      <c r="F67" s="35"/>
      <c r="G67" s="35"/>
      <c r="H67" s="35"/>
      <c r="I67" s="35"/>
      <c r="J67" s="35"/>
      <c r="K67" s="35"/>
      <c r="L67" s="35"/>
      <c r="M67" s="23"/>
      <c r="N67" s="32" t="str">
        <f t="shared" si="1"/>
        <v/>
      </c>
      <c r="O67" s="36"/>
      <c r="P67" s="37"/>
      <c r="Q67" s="34"/>
      <c r="R67" s="18"/>
      <c r="S67" s="35"/>
      <c r="T67" s="35"/>
      <c r="U67" s="18"/>
      <c r="V67" s="35"/>
      <c r="W67" s="35"/>
      <c r="X67" s="35"/>
      <c r="Y67" s="35"/>
      <c r="Z67" s="35"/>
      <c r="AA67" s="18"/>
      <c r="AB67" s="60"/>
      <c r="AC67" s="61"/>
      <c r="AD67" s="18"/>
      <c r="AE67" s="62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18"/>
    </row>
    <row r="68" spans="1:45" ht="33.75" customHeight="1" x14ac:dyDescent="0.5">
      <c r="A68" s="1"/>
      <c r="B68" s="29">
        <v>45</v>
      </c>
      <c r="C68" s="30">
        <f t="shared" si="0"/>
        <v>46241</v>
      </c>
      <c r="D68" s="23"/>
      <c r="E68" s="23"/>
      <c r="F68" s="35"/>
      <c r="G68" s="35"/>
      <c r="H68" s="35"/>
      <c r="I68" s="35"/>
      <c r="J68" s="35"/>
      <c r="K68" s="35"/>
      <c r="L68" s="35"/>
      <c r="M68" s="23"/>
      <c r="N68" s="32" t="str">
        <f t="shared" si="1"/>
        <v/>
      </c>
      <c r="O68" s="36"/>
      <c r="P68" s="37"/>
      <c r="Q68" s="34"/>
      <c r="R68" s="18"/>
      <c r="S68" s="35"/>
      <c r="T68" s="35"/>
      <c r="U68" s="18"/>
      <c r="V68" s="35"/>
      <c r="W68" s="35"/>
      <c r="X68" s="35"/>
      <c r="Y68" s="35"/>
      <c r="Z68" s="35"/>
      <c r="AA68" s="18"/>
      <c r="AB68" s="60"/>
      <c r="AC68" s="61"/>
      <c r="AD68" s="18"/>
      <c r="AE68" s="62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18"/>
    </row>
    <row r="69" spans="1:45" ht="33.75" customHeight="1" x14ac:dyDescent="0.5">
      <c r="A69" s="1"/>
      <c r="B69" s="29">
        <v>46</v>
      </c>
      <c r="C69" s="30">
        <f t="shared" si="0"/>
        <v>46248</v>
      </c>
      <c r="D69" s="23"/>
      <c r="E69" s="23"/>
      <c r="F69" s="35"/>
      <c r="G69" s="35"/>
      <c r="H69" s="35"/>
      <c r="I69" s="35"/>
      <c r="J69" s="35"/>
      <c r="K69" s="35"/>
      <c r="L69" s="35"/>
      <c r="M69" s="23"/>
      <c r="N69" s="32" t="str">
        <f t="shared" si="1"/>
        <v/>
      </c>
      <c r="O69" s="36"/>
      <c r="P69" s="37"/>
      <c r="Q69" s="34"/>
      <c r="R69" s="18"/>
      <c r="S69" s="35"/>
      <c r="T69" s="35"/>
      <c r="U69" s="18"/>
      <c r="V69" s="35"/>
      <c r="W69" s="35"/>
      <c r="X69" s="35"/>
      <c r="Y69" s="35"/>
      <c r="Z69" s="35"/>
      <c r="AA69" s="18"/>
      <c r="AB69" s="60"/>
      <c r="AC69" s="61"/>
      <c r="AD69" s="18"/>
      <c r="AE69" s="62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18"/>
    </row>
    <row r="70" spans="1:45" ht="33.75" customHeight="1" x14ac:dyDescent="0.5">
      <c r="A70" s="1"/>
      <c r="B70" s="29">
        <v>47</v>
      </c>
      <c r="C70" s="30">
        <f t="shared" si="0"/>
        <v>46255</v>
      </c>
      <c r="D70" s="23"/>
      <c r="E70" s="23"/>
      <c r="F70" s="35"/>
      <c r="G70" s="35"/>
      <c r="H70" s="35"/>
      <c r="I70" s="35"/>
      <c r="J70" s="35"/>
      <c r="K70" s="35"/>
      <c r="L70" s="35"/>
      <c r="M70" s="23"/>
      <c r="N70" s="32" t="str">
        <f t="shared" si="1"/>
        <v/>
      </c>
      <c r="O70" s="36"/>
      <c r="P70" s="37"/>
      <c r="Q70" s="34"/>
      <c r="R70" s="18"/>
      <c r="S70" s="35"/>
      <c r="T70" s="35"/>
      <c r="U70" s="18"/>
      <c r="V70" s="35"/>
      <c r="W70" s="35"/>
      <c r="X70" s="35"/>
      <c r="Y70" s="35"/>
      <c r="Z70" s="35"/>
      <c r="AA70" s="18"/>
      <c r="AB70" s="60"/>
      <c r="AC70" s="61"/>
      <c r="AD70" s="18"/>
      <c r="AE70" s="62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18"/>
    </row>
    <row r="71" spans="1:45" ht="33.75" customHeight="1" x14ac:dyDescent="0.5">
      <c r="A71" s="1"/>
      <c r="B71" s="29">
        <v>48</v>
      </c>
      <c r="C71" s="30">
        <f t="shared" si="0"/>
        <v>46262</v>
      </c>
      <c r="D71" s="23"/>
      <c r="E71" s="23"/>
      <c r="F71" s="35"/>
      <c r="G71" s="35"/>
      <c r="H71" s="35"/>
      <c r="I71" s="35"/>
      <c r="J71" s="35"/>
      <c r="K71" s="35"/>
      <c r="L71" s="35"/>
      <c r="M71" s="23"/>
      <c r="N71" s="32" t="str">
        <f t="shared" si="1"/>
        <v/>
      </c>
      <c r="O71" s="36"/>
      <c r="P71" s="37"/>
      <c r="Q71" s="34"/>
      <c r="R71" s="18"/>
      <c r="S71" s="35"/>
      <c r="T71" s="35"/>
      <c r="U71" s="18"/>
      <c r="V71" s="35"/>
      <c r="W71" s="35"/>
      <c r="X71" s="35"/>
      <c r="Y71" s="35"/>
      <c r="Z71" s="35"/>
      <c r="AA71" s="18"/>
      <c r="AB71" s="60"/>
      <c r="AC71" s="61"/>
      <c r="AD71" s="18"/>
      <c r="AE71" s="62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18"/>
    </row>
    <row r="72" spans="1:45" ht="33.75" customHeight="1" x14ac:dyDescent="0.5">
      <c r="A72" s="1"/>
      <c r="B72" s="29">
        <v>49</v>
      </c>
      <c r="C72" s="30">
        <f t="shared" si="0"/>
        <v>46269</v>
      </c>
      <c r="D72" s="23"/>
      <c r="E72" s="23"/>
      <c r="F72" s="35"/>
      <c r="G72" s="35"/>
      <c r="H72" s="35"/>
      <c r="I72" s="35"/>
      <c r="J72" s="35"/>
      <c r="K72" s="35"/>
      <c r="L72" s="35"/>
      <c r="M72" s="23"/>
      <c r="N72" s="32" t="str">
        <f t="shared" si="1"/>
        <v/>
      </c>
      <c r="O72" s="36"/>
      <c r="P72" s="37"/>
      <c r="Q72" s="34"/>
      <c r="R72" s="18"/>
      <c r="S72" s="35"/>
      <c r="T72" s="35"/>
      <c r="U72" s="18"/>
      <c r="V72" s="35"/>
      <c r="W72" s="35"/>
      <c r="X72" s="35"/>
      <c r="Y72" s="35"/>
      <c r="Z72" s="35"/>
      <c r="AA72" s="18"/>
      <c r="AB72" s="60"/>
      <c r="AC72" s="61"/>
      <c r="AD72" s="18"/>
      <c r="AE72" s="62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18"/>
    </row>
    <row r="73" spans="1:45" ht="33.75" customHeight="1" x14ac:dyDescent="0.5">
      <c r="A73" s="1"/>
      <c r="B73" s="29">
        <v>50</v>
      </c>
      <c r="C73" s="30">
        <f t="shared" si="0"/>
        <v>46276</v>
      </c>
      <c r="D73" s="23"/>
      <c r="E73" s="23"/>
      <c r="F73" s="35"/>
      <c r="G73" s="35"/>
      <c r="H73" s="35"/>
      <c r="I73" s="35"/>
      <c r="J73" s="35"/>
      <c r="K73" s="35"/>
      <c r="L73" s="35"/>
      <c r="M73" s="23"/>
      <c r="N73" s="32" t="str">
        <f t="shared" si="1"/>
        <v/>
      </c>
      <c r="O73" s="36"/>
      <c r="P73" s="37"/>
      <c r="Q73" s="34"/>
      <c r="R73" s="18"/>
      <c r="S73" s="35"/>
      <c r="T73" s="35"/>
      <c r="U73" s="18"/>
      <c r="V73" s="35"/>
      <c r="W73" s="35"/>
      <c r="X73" s="35"/>
      <c r="Y73" s="35"/>
      <c r="Z73" s="35"/>
      <c r="AA73" s="18"/>
      <c r="AB73" s="60"/>
      <c r="AC73" s="61"/>
      <c r="AD73" s="18"/>
      <c r="AE73" s="62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18"/>
    </row>
    <row r="74" spans="1:45" ht="33.75" customHeight="1" x14ac:dyDescent="0.5">
      <c r="A74" s="1"/>
      <c r="B74" s="29">
        <v>51</v>
      </c>
      <c r="C74" s="30">
        <f t="shared" si="0"/>
        <v>46283</v>
      </c>
      <c r="D74" s="23"/>
      <c r="E74" s="23"/>
      <c r="F74" s="35"/>
      <c r="G74" s="35"/>
      <c r="H74" s="35"/>
      <c r="I74" s="35"/>
      <c r="J74" s="35"/>
      <c r="K74" s="35"/>
      <c r="L74" s="35"/>
      <c r="M74" s="23"/>
      <c r="N74" s="32" t="str">
        <f t="shared" si="1"/>
        <v/>
      </c>
      <c r="O74" s="36"/>
      <c r="P74" s="37"/>
      <c r="Q74" s="34"/>
      <c r="R74" s="18"/>
      <c r="S74" s="35"/>
      <c r="T74" s="35"/>
      <c r="U74" s="18"/>
      <c r="V74" s="35"/>
      <c r="W74" s="35"/>
      <c r="X74" s="35"/>
      <c r="Y74" s="35"/>
      <c r="Z74" s="35"/>
      <c r="AA74" s="18"/>
      <c r="AB74" s="60"/>
      <c r="AC74" s="61"/>
      <c r="AD74" s="18"/>
      <c r="AE74" s="62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18"/>
    </row>
    <row r="75" spans="1:45" ht="33.75" customHeight="1" x14ac:dyDescent="0.5">
      <c r="A75" s="1"/>
      <c r="B75" s="29">
        <v>52</v>
      </c>
      <c r="C75" s="30">
        <f t="shared" si="0"/>
        <v>46290</v>
      </c>
      <c r="D75" s="23"/>
      <c r="E75" s="23"/>
      <c r="F75" s="35"/>
      <c r="G75" s="35"/>
      <c r="H75" s="35"/>
      <c r="I75" s="35"/>
      <c r="J75" s="35"/>
      <c r="K75" s="35"/>
      <c r="L75" s="35"/>
      <c r="M75" s="23"/>
      <c r="N75" s="32" t="str">
        <f t="shared" si="1"/>
        <v/>
      </c>
      <c r="O75" s="36"/>
      <c r="P75" s="37"/>
      <c r="Q75" s="34"/>
      <c r="R75" s="18"/>
      <c r="S75" s="35"/>
      <c r="T75" s="35"/>
      <c r="U75" s="18"/>
      <c r="V75" s="35"/>
      <c r="W75" s="35"/>
      <c r="X75" s="35"/>
      <c r="Y75" s="35"/>
      <c r="Z75" s="35"/>
      <c r="AA75" s="18"/>
      <c r="AB75" s="60"/>
      <c r="AC75" s="61"/>
      <c r="AD75" s="18"/>
      <c r="AE75" s="62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18"/>
    </row>
    <row r="76" spans="1:45" ht="15.75" customHeight="1" x14ac:dyDescent="0.4">
      <c r="A76" s="1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18"/>
    </row>
    <row r="77" spans="1:45" ht="15.75" customHeight="1" x14ac:dyDescent="0.3">
      <c r="C77" s="38" t="s">
        <v>31</v>
      </c>
    </row>
    <row r="78" spans="1:45" ht="15.75" customHeight="1" x14ac:dyDescent="0.3"/>
    <row r="79" spans="1:45" ht="15.75" customHeight="1" x14ac:dyDescent="0.3"/>
    <row r="80" spans="1:45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1">
    <mergeCell ref="AE61:AR61"/>
    <mergeCell ref="AE69:AR69"/>
    <mergeCell ref="AE70:AR70"/>
    <mergeCell ref="AE71:AR71"/>
    <mergeCell ref="AE72:AR72"/>
    <mergeCell ref="AE73:AR73"/>
    <mergeCell ref="AE74:AR74"/>
    <mergeCell ref="AE75:AR75"/>
    <mergeCell ref="AE62:AR62"/>
    <mergeCell ref="AE63:AR63"/>
    <mergeCell ref="AE64:AR64"/>
    <mergeCell ref="AE65:AR65"/>
    <mergeCell ref="AE66:AR66"/>
    <mergeCell ref="AE67:AR67"/>
    <mergeCell ref="AE68:AR68"/>
    <mergeCell ref="AE54:AR54"/>
    <mergeCell ref="AB54:AC54"/>
    <mergeCell ref="AB55:AC55"/>
    <mergeCell ref="AB56:AC56"/>
    <mergeCell ref="AB57:AC57"/>
    <mergeCell ref="AB58:AC58"/>
    <mergeCell ref="AB59:AC59"/>
    <mergeCell ref="AB60:AC60"/>
    <mergeCell ref="AE55:AR55"/>
    <mergeCell ref="AE56:AR56"/>
    <mergeCell ref="AE57:AR57"/>
    <mergeCell ref="AE58:AR58"/>
    <mergeCell ref="AE59:AR59"/>
    <mergeCell ref="AE60:AR60"/>
    <mergeCell ref="AB49:AC49"/>
    <mergeCell ref="AB50:AC50"/>
    <mergeCell ref="AB51:AC51"/>
    <mergeCell ref="AB52:AC52"/>
    <mergeCell ref="AB53:AC53"/>
    <mergeCell ref="AE48:AR48"/>
    <mergeCell ref="AE49:AR49"/>
    <mergeCell ref="AE50:AR50"/>
    <mergeCell ref="AE51:AR51"/>
    <mergeCell ref="AE52:AR52"/>
    <mergeCell ref="AE53:AR53"/>
    <mergeCell ref="AE43:AR43"/>
    <mergeCell ref="AE44:AR44"/>
    <mergeCell ref="AB45:AC45"/>
    <mergeCell ref="AE45:AR45"/>
    <mergeCell ref="AB46:AC46"/>
    <mergeCell ref="AE46:AR46"/>
    <mergeCell ref="AE47:AR47"/>
    <mergeCell ref="AB47:AC47"/>
    <mergeCell ref="AB48:AC48"/>
    <mergeCell ref="AB43:AC43"/>
    <mergeCell ref="AB44:AC44"/>
    <mergeCell ref="AB68:AC68"/>
    <mergeCell ref="AB69:AC69"/>
    <mergeCell ref="AB70:AC70"/>
    <mergeCell ref="AB71:AC71"/>
    <mergeCell ref="AB72:AC72"/>
    <mergeCell ref="AB73:AC73"/>
    <mergeCell ref="AB74:AC74"/>
    <mergeCell ref="AB75:AC75"/>
    <mergeCell ref="AB61:AC61"/>
    <mergeCell ref="AB62:AC62"/>
    <mergeCell ref="AB63:AC63"/>
    <mergeCell ref="AB64:AC64"/>
    <mergeCell ref="AB65:AC65"/>
    <mergeCell ref="AB66:AC66"/>
    <mergeCell ref="AB67:AC67"/>
    <mergeCell ref="AB39:AC39"/>
    <mergeCell ref="AB40:AC40"/>
    <mergeCell ref="AB27:AC27"/>
    <mergeCell ref="AE27:AR27"/>
    <mergeCell ref="AB28:AC28"/>
    <mergeCell ref="AE28:AR28"/>
    <mergeCell ref="AB29:AC29"/>
    <mergeCell ref="AE29:AR29"/>
    <mergeCell ref="AE30:AR30"/>
    <mergeCell ref="AE35:AR35"/>
    <mergeCell ref="AE36:AR36"/>
    <mergeCell ref="AE37:AR37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41:AC41"/>
    <mergeCell ref="AB42:AC42"/>
    <mergeCell ref="AE40:AR40"/>
    <mergeCell ref="AE41:AR41"/>
    <mergeCell ref="AE42:AR42"/>
    <mergeCell ref="C21:O21"/>
    <mergeCell ref="Q21:AC21"/>
    <mergeCell ref="N22:O22"/>
    <mergeCell ref="V22:Z22"/>
    <mergeCell ref="AE25:AR25"/>
    <mergeCell ref="AE26:AR26"/>
    <mergeCell ref="AE21:AR21"/>
    <mergeCell ref="AE22:AR22"/>
    <mergeCell ref="AB23:AC23"/>
    <mergeCell ref="AB24:AC24"/>
    <mergeCell ref="AE24:AR24"/>
    <mergeCell ref="AB25:AC25"/>
    <mergeCell ref="AB26:AC26"/>
    <mergeCell ref="AE38:AR38"/>
    <mergeCell ref="AE39:AR39"/>
    <mergeCell ref="AE31:AR31"/>
    <mergeCell ref="AE32:AR32"/>
    <mergeCell ref="AE33:AR33"/>
    <mergeCell ref="AE34:AR34"/>
    <mergeCell ref="C3:M3"/>
    <mergeCell ref="F6:H6"/>
    <mergeCell ref="F8:H8"/>
    <mergeCell ref="F10:H10"/>
    <mergeCell ref="F12:H12"/>
    <mergeCell ref="F14:H14"/>
    <mergeCell ref="O16:Q16"/>
    <mergeCell ref="F16:H16"/>
    <mergeCell ref="F18:H18"/>
    <mergeCell ref="O18:Q18"/>
  </mergeCells>
  <dataValidations disablePrompts="1" count="1">
    <dataValidation type="list" allowBlank="1" showInputMessage="1" showErrorMessage="1" prompt="Click for drop-down menu" sqref="F16" xr:uid="{00000000-0002-0000-0000-000000000000}">
      <formula1>"Shred Fat,Build Muscle,Maintain Physique"</formula1>
    </dataValidation>
  </dataValidations>
  <hyperlinks>
    <hyperlink ref="K14" r:id="rId1" xr:uid="{00000000-0004-0000-0000-000000000000}"/>
    <hyperlink ref="C77" r:id="rId2" xr:uid="{00000000-0004-0000-0000-000001000000}"/>
  </hyperlinks>
  <pageMargins left="0.7" right="0.7" top="0.75" bottom="0.75" header="0" footer="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1" width="12.109375" customWidth="1"/>
    <col min="2" max="6" width="8.6640625" customWidth="1"/>
  </cols>
  <sheetData>
    <row r="1" spans="1:1" ht="14.4" x14ac:dyDescent="0.3">
      <c r="A1" s="5">
        <v>44927</v>
      </c>
    </row>
    <row r="2" spans="1:1" ht="14.4" x14ac:dyDescent="0.3">
      <c r="A2" s="5">
        <v>44928</v>
      </c>
    </row>
    <row r="3" spans="1:1" ht="14.4" x14ac:dyDescent="0.3">
      <c r="A3" s="5">
        <v>44929</v>
      </c>
    </row>
    <row r="4" spans="1:1" ht="14.4" x14ac:dyDescent="0.3">
      <c r="A4" s="5">
        <v>44930</v>
      </c>
    </row>
    <row r="5" spans="1:1" ht="14.4" x14ac:dyDescent="0.3">
      <c r="A5" s="5">
        <v>44931</v>
      </c>
    </row>
    <row r="6" spans="1:1" ht="14.4" x14ac:dyDescent="0.3">
      <c r="A6" s="5">
        <v>44932</v>
      </c>
    </row>
    <row r="7" spans="1:1" ht="14.4" x14ac:dyDescent="0.3">
      <c r="A7" s="5">
        <v>44933</v>
      </c>
    </row>
    <row r="8" spans="1:1" ht="14.4" x14ac:dyDescent="0.3">
      <c r="A8" s="5">
        <v>44934</v>
      </c>
    </row>
    <row r="9" spans="1:1" ht="14.4" x14ac:dyDescent="0.3">
      <c r="A9" s="5">
        <v>44935</v>
      </c>
    </row>
    <row r="10" spans="1:1" ht="14.4" x14ac:dyDescent="0.3">
      <c r="A10" s="5">
        <v>44936</v>
      </c>
    </row>
    <row r="11" spans="1:1" ht="14.4" x14ac:dyDescent="0.3">
      <c r="A11" s="5">
        <v>44937</v>
      </c>
    </row>
    <row r="12" spans="1:1" ht="14.4" x14ac:dyDescent="0.3">
      <c r="A12" s="5">
        <v>44938</v>
      </c>
    </row>
    <row r="13" spans="1:1" ht="14.4" x14ac:dyDescent="0.3">
      <c r="A13" s="5">
        <v>44939</v>
      </c>
    </row>
    <row r="14" spans="1:1" ht="14.4" x14ac:dyDescent="0.3">
      <c r="A14" s="5">
        <v>44940</v>
      </c>
    </row>
    <row r="15" spans="1:1" ht="14.4" x14ac:dyDescent="0.3">
      <c r="A15" s="5">
        <v>44941</v>
      </c>
    </row>
    <row r="16" spans="1:1" ht="14.4" x14ac:dyDescent="0.3">
      <c r="A16" s="5">
        <v>44942</v>
      </c>
    </row>
    <row r="17" spans="1:1" ht="14.4" x14ac:dyDescent="0.3">
      <c r="A17" s="5">
        <v>44943</v>
      </c>
    </row>
    <row r="18" spans="1:1" ht="14.4" x14ac:dyDescent="0.3">
      <c r="A18" s="5">
        <v>44944</v>
      </c>
    </row>
    <row r="19" spans="1:1" ht="14.4" x14ac:dyDescent="0.3">
      <c r="A19" s="5">
        <v>44945</v>
      </c>
    </row>
    <row r="20" spans="1:1" ht="14.4" x14ac:dyDescent="0.3">
      <c r="A20" s="5">
        <v>44946</v>
      </c>
    </row>
    <row r="21" spans="1:1" ht="15.75" customHeight="1" x14ac:dyDescent="0.3">
      <c r="A21" s="5">
        <v>44947</v>
      </c>
    </row>
    <row r="22" spans="1:1" ht="15.75" customHeight="1" x14ac:dyDescent="0.3">
      <c r="A22" s="5">
        <v>44948</v>
      </c>
    </row>
    <row r="23" spans="1:1" ht="15.75" customHeight="1" x14ac:dyDescent="0.3">
      <c r="A23" s="5">
        <v>44949</v>
      </c>
    </row>
    <row r="24" spans="1:1" ht="15.75" customHeight="1" x14ac:dyDescent="0.3">
      <c r="A24" s="5">
        <v>44950</v>
      </c>
    </row>
    <row r="25" spans="1:1" ht="15.75" customHeight="1" x14ac:dyDescent="0.3">
      <c r="A25" s="5">
        <v>44951</v>
      </c>
    </row>
    <row r="26" spans="1:1" ht="15.75" customHeight="1" x14ac:dyDescent="0.3">
      <c r="A26" s="5">
        <v>44952</v>
      </c>
    </row>
    <row r="27" spans="1:1" ht="15.75" customHeight="1" x14ac:dyDescent="0.3">
      <c r="A27" s="5">
        <v>44953</v>
      </c>
    </row>
    <row r="28" spans="1:1" ht="15.75" customHeight="1" x14ac:dyDescent="0.3">
      <c r="A28" s="5">
        <v>44954</v>
      </c>
    </row>
    <row r="29" spans="1:1" ht="15.75" customHeight="1" x14ac:dyDescent="0.3">
      <c r="A29" s="5">
        <v>44955</v>
      </c>
    </row>
    <row r="30" spans="1:1" ht="15.75" customHeight="1" x14ac:dyDescent="0.3">
      <c r="A30" s="5">
        <v>44956</v>
      </c>
    </row>
    <row r="31" spans="1:1" ht="15.75" customHeight="1" x14ac:dyDescent="0.3">
      <c r="A31" s="5">
        <v>44957</v>
      </c>
    </row>
    <row r="32" spans="1:1" ht="15.75" customHeight="1" x14ac:dyDescent="0.3">
      <c r="A32" s="5">
        <v>44958</v>
      </c>
    </row>
    <row r="33" spans="1:1" ht="15.75" customHeight="1" x14ac:dyDescent="0.3">
      <c r="A33" s="5">
        <v>44959</v>
      </c>
    </row>
    <row r="34" spans="1:1" ht="15.75" customHeight="1" x14ac:dyDescent="0.3">
      <c r="A34" s="5">
        <v>44960</v>
      </c>
    </row>
    <row r="35" spans="1:1" ht="15.75" customHeight="1" x14ac:dyDescent="0.3">
      <c r="A35" s="5">
        <v>44961</v>
      </c>
    </row>
    <row r="36" spans="1:1" ht="15.75" customHeight="1" x14ac:dyDescent="0.3">
      <c r="A36" s="5">
        <v>44962</v>
      </c>
    </row>
    <row r="37" spans="1:1" ht="15.75" customHeight="1" x14ac:dyDescent="0.3">
      <c r="A37" s="5">
        <v>44963</v>
      </c>
    </row>
    <row r="38" spans="1:1" ht="15.75" customHeight="1" x14ac:dyDescent="0.3">
      <c r="A38" s="5">
        <v>44964</v>
      </c>
    </row>
    <row r="39" spans="1:1" ht="15.75" customHeight="1" x14ac:dyDescent="0.3">
      <c r="A39" s="5">
        <v>44965</v>
      </c>
    </row>
    <row r="40" spans="1:1" ht="15.75" customHeight="1" x14ac:dyDescent="0.3">
      <c r="A40" s="5">
        <v>44966</v>
      </c>
    </row>
    <row r="41" spans="1:1" ht="15.75" customHeight="1" x14ac:dyDescent="0.3">
      <c r="A41" s="5">
        <v>44967</v>
      </c>
    </row>
    <row r="42" spans="1:1" ht="15.75" customHeight="1" x14ac:dyDescent="0.3">
      <c r="A42" s="5">
        <v>44968</v>
      </c>
    </row>
    <row r="43" spans="1:1" ht="15.75" customHeight="1" x14ac:dyDescent="0.3">
      <c r="A43" s="5">
        <v>44969</v>
      </c>
    </row>
    <row r="44" spans="1:1" ht="15.75" customHeight="1" x14ac:dyDescent="0.3">
      <c r="A44" s="5">
        <v>44970</v>
      </c>
    </row>
    <row r="45" spans="1:1" ht="15.75" customHeight="1" x14ac:dyDescent="0.3">
      <c r="A45" s="5">
        <v>44971</v>
      </c>
    </row>
    <row r="46" spans="1:1" ht="15.75" customHeight="1" x14ac:dyDescent="0.3">
      <c r="A46" s="5">
        <v>44972</v>
      </c>
    </row>
    <row r="47" spans="1:1" ht="15.75" customHeight="1" x14ac:dyDescent="0.3">
      <c r="A47" s="5">
        <v>44973</v>
      </c>
    </row>
    <row r="48" spans="1:1" ht="15.75" customHeight="1" x14ac:dyDescent="0.3">
      <c r="A48" s="5">
        <v>44974</v>
      </c>
    </row>
    <row r="49" spans="1:1" ht="15.75" customHeight="1" x14ac:dyDescent="0.3">
      <c r="A49" s="5">
        <v>44975</v>
      </c>
    </row>
    <row r="50" spans="1:1" ht="15.75" customHeight="1" x14ac:dyDescent="0.3">
      <c r="A50" s="5">
        <v>44976</v>
      </c>
    </row>
    <row r="51" spans="1:1" ht="15.75" customHeight="1" x14ac:dyDescent="0.3">
      <c r="A51" s="5">
        <v>44977</v>
      </c>
    </row>
    <row r="52" spans="1:1" ht="15.75" customHeight="1" x14ac:dyDescent="0.3">
      <c r="A52" s="5">
        <v>44978</v>
      </c>
    </row>
    <row r="53" spans="1:1" ht="15.75" customHeight="1" x14ac:dyDescent="0.3">
      <c r="A53" s="5">
        <v>44979</v>
      </c>
    </row>
    <row r="54" spans="1:1" ht="15.75" customHeight="1" x14ac:dyDescent="0.3">
      <c r="A54" s="5">
        <v>44980</v>
      </c>
    </row>
    <row r="55" spans="1:1" ht="15.75" customHeight="1" x14ac:dyDescent="0.3">
      <c r="A55" s="5">
        <v>44981</v>
      </c>
    </row>
    <row r="56" spans="1:1" ht="15.75" customHeight="1" x14ac:dyDescent="0.3">
      <c r="A56" s="5">
        <v>44982</v>
      </c>
    </row>
    <row r="57" spans="1:1" ht="15.75" customHeight="1" x14ac:dyDescent="0.3">
      <c r="A57" s="5">
        <v>44983</v>
      </c>
    </row>
    <row r="58" spans="1:1" ht="15.75" customHeight="1" x14ac:dyDescent="0.3">
      <c r="A58" s="5">
        <v>44984</v>
      </c>
    </row>
    <row r="59" spans="1:1" ht="15.75" customHeight="1" x14ac:dyDescent="0.3">
      <c r="A59" s="5">
        <v>44985</v>
      </c>
    </row>
    <row r="60" spans="1:1" ht="15.75" customHeight="1" x14ac:dyDescent="0.3">
      <c r="A60" s="5">
        <v>44986</v>
      </c>
    </row>
    <row r="61" spans="1:1" ht="15.75" customHeight="1" x14ac:dyDescent="0.3">
      <c r="A61" s="5">
        <v>44987</v>
      </c>
    </row>
    <row r="62" spans="1:1" ht="15.75" customHeight="1" x14ac:dyDescent="0.3">
      <c r="A62" s="5">
        <v>44988</v>
      </c>
    </row>
    <row r="63" spans="1:1" ht="15.75" customHeight="1" x14ac:dyDescent="0.3">
      <c r="A63" s="5">
        <v>44989</v>
      </c>
    </row>
    <row r="64" spans="1:1" ht="15.75" customHeight="1" x14ac:dyDescent="0.3">
      <c r="A64" s="5">
        <v>44990</v>
      </c>
    </row>
    <row r="65" spans="1:1" ht="15.75" customHeight="1" x14ac:dyDescent="0.3">
      <c r="A65" s="5">
        <v>44991</v>
      </c>
    </row>
    <row r="66" spans="1:1" ht="15.75" customHeight="1" x14ac:dyDescent="0.3">
      <c r="A66" s="5">
        <v>44992</v>
      </c>
    </row>
    <row r="67" spans="1:1" ht="15.75" customHeight="1" x14ac:dyDescent="0.3">
      <c r="A67" s="5">
        <v>44993</v>
      </c>
    </row>
    <row r="68" spans="1:1" ht="15.75" customHeight="1" x14ac:dyDescent="0.3">
      <c r="A68" s="5">
        <v>44994</v>
      </c>
    </row>
    <row r="69" spans="1:1" ht="15.75" customHeight="1" x14ac:dyDescent="0.3">
      <c r="A69" s="5">
        <v>44995</v>
      </c>
    </row>
    <row r="70" spans="1:1" ht="15.75" customHeight="1" x14ac:dyDescent="0.3">
      <c r="A70" s="5">
        <v>44996</v>
      </c>
    </row>
    <row r="71" spans="1:1" ht="15.75" customHeight="1" x14ac:dyDescent="0.3">
      <c r="A71" s="5">
        <v>44997</v>
      </c>
    </row>
    <row r="72" spans="1:1" ht="15.75" customHeight="1" x14ac:dyDescent="0.3">
      <c r="A72" s="5">
        <v>44998</v>
      </c>
    </row>
    <row r="73" spans="1:1" ht="15.75" customHeight="1" x14ac:dyDescent="0.3">
      <c r="A73" s="5">
        <v>44999</v>
      </c>
    </row>
    <row r="74" spans="1:1" ht="15.75" customHeight="1" x14ac:dyDescent="0.3">
      <c r="A74" s="5">
        <v>45000</v>
      </c>
    </row>
    <row r="75" spans="1:1" ht="15.75" customHeight="1" x14ac:dyDescent="0.3">
      <c r="A75" s="5">
        <v>45001</v>
      </c>
    </row>
    <row r="76" spans="1:1" ht="15.75" customHeight="1" x14ac:dyDescent="0.3">
      <c r="A76" s="5">
        <v>45002</v>
      </c>
    </row>
    <row r="77" spans="1:1" ht="15.75" customHeight="1" x14ac:dyDescent="0.3">
      <c r="A77" s="5">
        <v>45003</v>
      </c>
    </row>
    <row r="78" spans="1:1" ht="15.75" customHeight="1" x14ac:dyDescent="0.3">
      <c r="A78" s="5">
        <v>45004</v>
      </c>
    </row>
    <row r="79" spans="1:1" ht="15.75" customHeight="1" x14ac:dyDescent="0.3">
      <c r="A79" s="5">
        <v>45005</v>
      </c>
    </row>
    <row r="80" spans="1:1" ht="15.75" customHeight="1" x14ac:dyDescent="0.3">
      <c r="A80" s="5">
        <v>45006</v>
      </c>
    </row>
    <row r="81" spans="1:1" ht="15.75" customHeight="1" x14ac:dyDescent="0.3">
      <c r="A81" s="5">
        <v>45007</v>
      </c>
    </row>
    <row r="82" spans="1:1" ht="15.75" customHeight="1" x14ac:dyDescent="0.3">
      <c r="A82" s="5">
        <v>45008</v>
      </c>
    </row>
    <row r="83" spans="1:1" ht="15.75" customHeight="1" x14ac:dyDescent="0.3">
      <c r="A83" s="5">
        <v>45009</v>
      </c>
    </row>
    <row r="84" spans="1:1" ht="15.75" customHeight="1" x14ac:dyDescent="0.3">
      <c r="A84" s="5">
        <v>45010</v>
      </c>
    </row>
    <row r="85" spans="1:1" ht="15.75" customHeight="1" x14ac:dyDescent="0.3">
      <c r="A85" s="5">
        <v>45011</v>
      </c>
    </row>
    <row r="86" spans="1:1" ht="15.75" customHeight="1" x14ac:dyDescent="0.3">
      <c r="A86" s="5">
        <v>45012</v>
      </c>
    </row>
    <row r="87" spans="1:1" ht="15.75" customHeight="1" x14ac:dyDescent="0.3">
      <c r="A87" s="5">
        <v>45013</v>
      </c>
    </row>
    <row r="88" spans="1:1" ht="15.75" customHeight="1" x14ac:dyDescent="0.3">
      <c r="A88" s="5">
        <v>45014</v>
      </c>
    </row>
    <row r="89" spans="1:1" ht="15.75" customHeight="1" x14ac:dyDescent="0.3">
      <c r="A89" s="5">
        <v>45015</v>
      </c>
    </row>
    <row r="90" spans="1:1" ht="15.75" customHeight="1" x14ac:dyDescent="0.3">
      <c r="A90" s="5">
        <v>45016</v>
      </c>
    </row>
    <row r="91" spans="1:1" ht="15.75" customHeight="1" x14ac:dyDescent="0.3">
      <c r="A91" s="5">
        <v>45017</v>
      </c>
    </row>
    <row r="92" spans="1:1" ht="15.75" customHeight="1" x14ac:dyDescent="0.3">
      <c r="A92" s="5">
        <v>45018</v>
      </c>
    </row>
    <row r="93" spans="1:1" ht="15.75" customHeight="1" x14ac:dyDescent="0.3">
      <c r="A93" s="5">
        <v>45019</v>
      </c>
    </row>
    <row r="94" spans="1:1" ht="15.75" customHeight="1" x14ac:dyDescent="0.3">
      <c r="A94" s="5">
        <v>45020</v>
      </c>
    </row>
    <row r="95" spans="1:1" ht="15.75" customHeight="1" x14ac:dyDescent="0.3">
      <c r="A95" s="5">
        <v>45021</v>
      </c>
    </row>
    <row r="96" spans="1:1" ht="15.75" customHeight="1" x14ac:dyDescent="0.3">
      <c r="A96" s="5">
        <v>45022</v>
      </c>
    </row>
    <row r="97" spans="1:1" ht="15.75" customHeight="1" x14ac:dyDescent="0.3">
      <c r="A97" s="5">
        <v>45023</v>
      </c>
    </row>
    <row r="98" spans="1:1" ht="15.75" customHeight="1" x14ac:dyDescent="0.3">
      <c r="A98" s="5">
        <v>45024</v>
      </c>
    </row>
    <row r="99" spans="1:1" ht="15.75" customHeight="1" x14ac:dyDescent="0.3">
      <c r="A99" s="5">
        <v>45025</v>
      </c>
    </row>
    <row r="100" spans="1:1" ht="15.75" customHeight="1" x14ac:dyDescent="0.3">
      <c r="A100" s="5">
        <v>45026</v>
      </c>
    </row>
    <row r="101" spans="1:1" ht="15.75" customHeight="1" x14ac:dyDescent="0.3">
      <c r="A101" s="5">
        <v>45027</v>
      </c>
    </row>
    <row r="102" spans="1:1" ht="15.75" customHeight="1" x14ac:dyDescent="0.3">
      <c r="A102" s="5">
        <v>45028</v>
      </c>
    </row>
    <row r="103" spans="1:1" ht="15.75" customHeight="1" x14ac:dyDescent="0.3">
      <c r="A103" s="5">
        <v>45029</v>
      </c>
    </row>
    <row r="104" spans="1:1" ht="15.75" customHeight="1" x14ac:dyDescent="0.3">
      <c r="A104" s="5">
        <v>45030</v>
      </c>
    </row>
    <row r="105" spans="1:1" ht="15.75" customHeight="1" x14ac:dyDescent="0.3">
      <c r="A105" s="5">
        <v>45031</v>
      </c>
    </row>
    <row r="106" spans="1:1" ht="15.75" customHeight="1" x14ac:dyDescent="0.3">
      <c r="A106" s="5">
        <v>45032</v>
      </c>
    </row>
    <row r="107" spans="1:1" ht="15.75" customHeight="1" x14ac:dyDescent="0.3">
      <c r="A107" s="5">
        <v>45033</v>
      </c>
    </row>
    <row r="108" spans="1:1" ht="15.75" customHeight="1" x14ac:dyDescent="0.3">
      <c r="A108" s="5">
        <v>45034</v>
      </c>
    </row>
    <row r="109" spans="1:1" ht="15.75" customHeight="1" x14ac:dyDescent="0.3">
      <c r="A109" s="5">
        <v>45035</v>
      </c>
    </row>
    <row r="110" spans="1:1" ht="15.75" customHeight="1" x14ac:dyDescent="0.3">
      <c r="A110" s="5">
        <v>45036</v>
      </c>
    </row>
    <row r="111" spans="1:1" ht="15.75" customHeight="1" x14ac:dyDescent="0.3">
      <c r="A111" s="5">
        <v>45037</v>
      </c>
    </row>
    <row r="112" spans="1:1" ht="15.75" customHeight="1" x14ac:dyDescent="0.3">
      <c r="A112" s="5">
        <v>45038</v>
      </c>
    </row>
    <row r="113" spans="1:1" ht="15.75" customHeight="1" x14ac:dyDescent="0.3">
      <c r="A113" s="5">
        <v>45039</v>
      </c>
    </row>
    <row r="114" spans="1:1" ht="15.75" customHeight="1" x14ac:dyDescent="0.3">
      <c r="A114" s="5">
        <v>45040</v>
      </c>
    </row>
    <row r="115" spans="1:1" ht="15.75" customHeight="1" x14ac:dyDescent="0.3">
      <c r="A115" s="5">
        <v>45041</v>
      </c>
    </row>
    <row r="116" spans="1:1" ht="15.75" customHeight="1" x14ac:dyDescent="0.3">
      <c r="A116" s="5">
        <v>45042</v>
      </c>
    </row>
    <row r="117" spans="1:1" ht="15.75" customHeight="1" x14ac:dyDescent="0.3">
      <c r="A117" s="5">
        <v>45043</v>
      </c>
    </row>
    <row r="118" spans="1:1" ht="15.75" customHeight="1" x14ac:dyDescent="0.3">
      <c r="A118" s="5">
        <v>45044</v>
      </c>
    </row>
    <row r="119" spans="1:1" ht="15.75" customHeight="1" x14ac:dyDescent="0.3">
      <c r="A119" s="5">
        <v>45045</v>
      </c>
    </row>
    <row r="120" spans="1:1" ht="15.75" customHeight="1" x14ac:dyDescent="0.3">
      <c r="A120" s="5">
        <v>45046</v>
      </c>
    </row>
    <row r="121" spans="1:1" ht="15.75" customHeight="1" x14ac:dyDescent="0.3">
      <c r="A121" s="5">
        <v>45047</v>
      </c>
    </row>
    <row r="122" spans="1:1" ht="15.75" customHeight="1" x14ac:dyDescent="0.3">
      <c r="A122" s="5">
        <v>45048</v>
      </c>
    </row>
    <row r="123" spans="1:1" ht="15.75" customHeight="1" x14ac:dyDescent="0.3">
      <c r="A123" s="5">
        <v>45049</v>
      </c>
    </row>
    <row r="124" spans="1:1" ht="15.75" customHeight="1" x14ac:dyDescent="0.3">
      <c r="A124" s="5">
        <v>45050</v>
      </c>
    </row>
    <row r="125" spans="1:1" ht="15.75" customHeight="1" x14ac:dyDescent="0.3">
      <c r="A125" s="5">
        <v>45051</v>
      </c>
    </row>
    <row r="126" spans="1:1" ht="15.75" customHeight="1" x14ac:dyDescent="0.3">
      <c r="A126" s="5">
        <v>45052</v>
      </c>
    </row>
    <row r="127" spans="1:1" ht="15.75" customHeight="1" x14ac:dyDescent="0.3">
      <c r="A127" s="5">
        <v>45053</v>
      </c>
    </row>
    <row r="128" spans="1:1" ht="15.75" customHeight="1" x14ac:dyDescent="0.3">
      <c r="A128" s="5">
        <v>45054</v>
      </c>
    </row>
    <row r="129" spans="1:1" ht="15.75" customHeight="1" x14ac:dyDescent="0.3">
      <c r="A129" s="5">
        <v>45055</v>
      </c>
    </row>
    <row r="130" spans="1:1" ht="15.75" customHeight="1" x14ac:dyDescent="0.3">
      <c r="A130" s="5">
        <v>45056</v>
      </c>
    </row>
    <row r="131" spans="1:1" ht="15.75" customHeight="1" x14ac:dyDescent="0.3">
      <c r="A131" s="5">
        <v>45057</v>
      </c>
    </row>
    <row r="132" spans="1:1" ht="15.75" customHeight="1" x14ac:dyDescent="0.3">
      <c r="A132" s="5">
        <v>45058</v>
      </c>
    </row>
    <row r="133" spans="1:1" ht="15.75" customHeight="1" x14ac:dyDescent="0.3">
      <c r="A133" s="5">
        <v>45059</v>
      </c>
    </row>
    <row r="134" spans="1:1" ht="15.75" customHeight="1" x14ac:dyDescent="0.3">
      <c r="A134" s="5">
        <v>45060</v>
      </c>
    </row>
    <row r="135" spans="1:1" ht="15.75" customHeight="1" x14ac:dyDescent="0.3">
      <c r="A135" s="5">
        <v>45061</v>
      </c>
    </row>
    <row r="136" spans="1:1" ht="15.75" customHeight="1" x14ac:dyDescent="0.3">
      <c r="A136" s="5">
        <v>45062</v>
      </c>
    </row>
    <row r="137" spans="1:1" ht="15.75" customHeight="1" x14ac:dyDescent="0.3">
      <c r="A137" s="5">
        <v>45063</v>
      </c>
    </row>
    <row r="138" spans="1:1" ht="15.75" customHeight="1" x14ac:dyDescent="0.3">
      <c r="A138" s="5">
        <v>45064</v>
      </c>
    </row>
    <row r="139" spans="1:1" ht="15.75" customHeight="1" x14ac:dyDescent="0.3">
      <c r="A139" s="5">
        <v>45065</v>
      </c>
    </row>
    <row r="140" spans="1:1" ht="15.75" customHeight="1" x14ac:dyDescent="0.3">
      <c r="A140" s="5">
        <v>45066</v>
      </c>
    </row>
    <row r="141" spans="1:1" ht="15.75" customHeight="1" x14ac:dyDescent="0.3">
      <c r="A141" s="5">
        <v>45067</v>
      </c>
    </row>
    <row r="142" spans="1:1" ht="15.75" customHeight="1" x14ac:dyDescent="0.3">
      <c r="A142" s="5">
        <v>45068</v>
      </c>
    </row>
    <row r="143" spans="1:1" ht="15.75" customHeight="1" x14ac:dyDescent="0.3">
      <c r="A143" s="5">
        <v>45069</v>
      </c>
    </row>
    <row r="144" spans="1:1" ht="15.75" customHeight="1" x14ac:dyDescent="0.3">
      <c r="A144" s="5">
        <v>45070</v>
      </c>
    </row>
    <row r="145" spans="1:1" ht="15.75" customHeight="1" x14ac:dyDescent="0.3">
      <c r="A145" s="5">
        <v>45071</v>
      </c>
    </row>
    <row r="146" spans="1:1" ht="15.75" customHeight="1" x14ac:dyDescent="0.3">
      <c r="A146" s="5">
        <v>45072</v>
      </c>
    </row>
    <row r="147" spans="1:1" ht="15.75" customHeight="1" x14ac:dyDescent="0.3">
      <c r="A147" s="5">
        <v>45073</v>
      </c>
    </row>
    <row r="148" spans="1:1" ht="15.75" customHeight="1" x14ac:dyDescent="0.3">
      <c r="A148" s="5">
        <v>45074</v>
      </c>
    </row>
    <row r="149" spans="1:1" ht="15.75" customHeight="1" x14ac:dyDescent="0.3">
      <c r="A149" s="5">
        <v>45075</v>
      </c>
    </row>
    <row r="150" spans="1:1" ht="15.75" customHeight="1" x14ac:dyDescent="0.3">
      <c r="A150" s="5">
        <v>45076</v>
      </c>
    </row>
    <row r="151" spans="1:1" ht="15.75" customHeight="1" x14ac:dyDescent="0.3">
      <c r="A151" s="5">
        <v>45077</v>
      </c>
    </row>
    <row r="152" spans="1:1" ht="15.75" customHeight="1" x14ac:dyDescent="0.3">
      <c r="A152" s="5">
        <v>45078</v>
      </c>
    </row>
    <row r="153" spans="1:1" ht="15.75" customHeight="1" x14ac:dyDescent="0.3">
      <c r="A153" s="5">
        <v>45079</v>
      </c>
    </row>
    <row r="154" spans="1:1" ht="15.75" customHeight="1" x14ac:dyDescent="0.3">
      <c r="A154" s="5">
        <v>45080</v>
      </c>
    </row>
    <row r="155" spans="1:1" ht="15.75" customHeight="1" x14ac:dyDescent="0.3">
      <c r="A155" s="5">
        <v>45081</v>
      </c>
    </row>
    <row r="156" spans="1:1" ht="15.75" customHeight="1" x14ac:dyDescent="0.3">
      <c r="A156" s="5">
        <v>45082</v>
      </c>
    </row>
    <row r="157" spans="1:1" ht="15.75" customHeight="1" x14ac:dyDescent="0.3">
      <c r="A157" s="5">
        <v>45083</v>
      </c>
    </row>
    <row r="158" spans="1:1" ht="15.75" customHeight="1" x14ac:dyDescent="0.3">
      <c r="A158" s="5">
        <v>45084</v>
      </c>
    </row>
    <row r="159" spans="1:1" ht="15.75" customHeight="1" x14ac:dyDescent="0.3">
      <c r="A159" s="5">
        <v>45085</v>
      </c>
    </row>
    <row r="160" spans="1:1" ht="15.75" customHeight="1" x14ac:dyDescent="0.3">
      <c r="A160" s="5">
        <v>45086</v>
      </c>
    </row>
    <row r="161" spans="1:1" ht="15.75" customHeight="1" x14ac:dyDescent="0.3">
      <c r="A161" s="5">
        <v>45087</v>
      </c>
    </row>
    <row r="162" spans="1:1" ht="15.75" customHeight="1" x14ac:dyDescent="0.3">
      <c r="A162" s="5">
        <v>45088</v>
      </c>
    </row>
    <row r="163" spans="1:1" ht="15.75" customHeight="1" x14ac:dyDescent="0.3">
      <c r="A163" s="5">
        <v>45089</v>
      </c>
    </row>
    <row r="164" spans="1:1" ht="15.75" customHeight="1" x14ac:dyDescent="0.3">
      <c r="A164" s="5">
        <v>45090</v>
      </c>
    </row>
    <row r="165" spans="1:1" ht="15.75" customHeight="1" x14ac:dyDescent="0.3">
      <c r="A165" s="5">
        <v>45091</v>
      </c>
    </row>
    <row r="166" spans="1:1" ht="15.75" customHeight="1" x14ac:dyDescent="0.3">
      <c r="A166" s="5">
        <v>45092</v>
      </c>
    </row>
    <row r="167" spans="1:1" ht="15.75" customHeight="1" x14ac:dyDescent="0.3">
      <c r="A167" s="5">
        <v>45093</v>
      </c>
    </row>
    <row r="168" spans="1:1" ht="15.75" customHeight="1" x14ac:dyDescent="0.3">
      <c r="A168" s="5">
        <v>45094</v>
      </c>
    </row>
    <row r="169" spans="1:1" ht="15.75" customHeight="1" x14ac:dyDescent="0.3">
      <c r="A169" s="5">
        <v>45095</v>
      </c>
    </row>
    <row r="170" spans="1:1" ht="15.75" customHeight="1" x14ac:dyDescent="0.3">
      <c r="A170" s="5">
        <v>45096</v>
      </c>
    </row>
    <row r="171" spans="1:1" ht="15.75" customHeight="1" x14ac:dyDescent="0.3">
      <c r="A171" s="5">
        <v>45097</v>
      </c>
    </row>
    <row r="172" spans="1:1" ht="15.75" customHeight="1" x14ac:dyDescent="0.3">
      <c r="A172" s="5">
        <v>45098</v>
      </c>
    </row>
    <row r="173" spans="1:1" ht="15.75" customHeight="1" x14ac:dyDescent="0.3">
      <c r="A173" s="5">
        <v>45099</v>
      </c>
    </row>
    <row r="174" spans="1:1" ht="15.75" customHeight="1" x14ac:dyDescent="0.3">
      <c r="A174" s="5">
        <v>45100</v>
      </c>
    </row>
    <row r="175" spans="1:1" ht="15.75" customHeight="1" x14ac:dyDescent="0.3">
      <c r="A175" s="5">
        <v>45101</v>
      </c>
    </row>
    <row r="176" spans="1:1" ht="15.75" customHeight="1" x14ac:dyDescent="0.3">
      <c r="A176" s="5">
        <v>45102</v>
      </c>
    </row>
    <row r="177" spans="1:1" ht="15.75" customHeight="1" x14ac:dyDescent="0.3">
      <c r="A177" s="5">
        <v>45103</v>
      </c>
    </row>
    <row r="178" spans="1:1" ht="15.75" customHeight="1" x14ac:dyDescent="0.3">
      <c r="A178" s="5">
        <v>45104</v>
      </c>
    </row>
    <row r="179" spans="1:1" ht="15.75" customHeight="1" x14ac:dyDescent="0.3">
      <c r="A179" s="5">
        <v>45105</v>
      </c>
    </row>
    <row r="180" spans="1:1" ht="15.75" customHeight="1" x14ac:dyDescent="0.3">
      <c r="A180" s="5">
        <v>45106</v>
      </c>
    </row>
    <row r="181" spans="1:1" ht="15.75" customHeight="1" x14ac:dyDescent="0.3">
      <c r="A181" s="5">
        <v>45107</v>
      </c>
    </row>
    <row r="182" spans="1:1" ht="15.75" customHeight="1" x14ac:dyDescent="0.3">
      <c r="A182" s="5">
        <v>45108</v>
      </c>
    </row>
    <row r="183" spans="1:1" ht="15.75" customHeight="1" x14ac:dyDescent="0.3">
      <c r="A183" s="5">
        <v>45109</v>
      </c>
    </row>
    <row r="184" spans="1:1" ht="15.75" customHeight="1" x14ac:dyDescent="0.3">
      <c r="A184" s="5">
        <v>45110</v>
      </c>
    </row>
    <row r="185" spans="1:1" ht="15.75" customHeight="1" x14ac:dyDescent="0.3">
      <c r="A185" s="5">
        <v>45111</v>
      </c>
    </row>
    <row r="186" spans="1:1" ht="15.75" customHeight="1" x14ac:dyDescent="0.3">
      <c r="A186" s="5">
        <v>45112</v>
      </c>
    </row>
    <row r="187" spans="1:1" ht="15.75" customHeight="1" x14ac:dyDescent="0.3">
      <c r="A187" s="5">
        <v>45113</v>
      </c>
    </row>
    <row r="188" spans="1:1" ht="15.75" customHeight="1" x14ac:dyDescent="0.3">
      <c r="A188" s="5">
        <v>45114</v>
      </c>
    </row>
    <row r="189" spans="1:1" ht="15.75" customHeight="1" x14ac:dyDescent="0.3">
      <c r="A189" s="5">
        <v>45115</v>
      </c>
    </row>
    <row r="190" spans="1:1" ht="15.75" customHeight="1" x14ac:dyDescent="0.3">
      <c r="A190" s="5">
        <v>45116</v>
      </c>
    </row>
    <row r="191" spans="1:1" ht="15.75" customHeight="1" x14ac:dyDescent="0.3">
      <c r="A191" s="5">
        <v>45117</v>
      </c>
    </row>
    <row r="192" spans="1:1" ht="15.75" customHeight="1" x14ac:dyDescent="0.3">
      <c r="A192" s="5">
        <v>45118</v>
      </c>
    </row>
    <row r="193" spans="1:1" ht="15.75" customHeight="1" x14ac:dyDescent="0.3">
      <c r="A193" s="5">
        <v>45119</v>
      </c>
    </row>
    <row r="194" spans="1:1" ht="15.75" customHeight="1" x14ac:dyDescent="0.3">
      <c r="A194" s="5">
        <v>45120</v>
      </c>
    </row>
    <row r="195" spans="1:1" ht="15.75" customHeight="1" x14ac:dyDescent="0.3">
      <c r="A195" s="5">
        <v>45121</v>
      </c>
    </row>
    <row r="196" spans="1:1" ht="15.75" customHeight="1" x14ac:dyDescent="0.3">
      <c r="A196" s="5">
        <v>45122</v>
      </c>
    </row>
    <row r="197" spans="1:1" ht="15.75" customHeight="1" x14ac:dyDescent="0.3">
      <c r="A197" s="5">
        <v>45123</v>
      </c>
    </row>
    <row r="198" spans="1:1" ht="15.75" customHeight="1" x14ac:dyDescent="0.3">
      <c r="A198" s="5">
        <v>45124</v>
      </c>
    </row>
    <row r="199" spans="1:1" ht="15.75" customHeight="1" x14ac:dyDescent="0.3">
      <c r="A199" s="5">
        <v>45125</v>
      </c>
    </row>
    <row r="200" spans="1:1" ht="15.75" customHeight="1" x14ac:dyDescent="0.3">
      <c r="A200" s="5">
        <v>45126</v>
      </c>
    </row>
    <row r="201" spans="1:1" ht="15.75" customHeight="1" x14ac:dyDescent="0.3">
      <c r="A201" s="5">
        <v>45127</v>
      </c>
    </row>
    <row r="202" spans="1:1" ht="15.75" customHeight="1" x14ac:dyDescent="0.3">
      <c r="A202" s="5">
        <v>45128</v>
      </c>
    </row>
    <row r="203" spans="1:1" ht="15.75" customHeight="1" x14ac:dyDescent="0.3">
      <c r="A203" s="5">
        <v>45129</v>
      </c>
    </row>
    <row r="204" spans="1:1" ht="15.75" customHeight="1" x14ac:dyDescent="0.3">
      <c r="A204" s="5">
        <v>45130</v>
      </c>
    </row>
    <row r="205" spans="1:1" ht="15.75" customHeight="1" x14ac:dyDescent="0.3">
      <c r="A205" s="5">
        <v>45131</v>
      </c>
    </row>
    <row r="206" spans="1:1" ht="15.75" customHeight="1" x14ac:dyDescent="0.3">
      <c r="A206" s="5">
        <v>45132</v>
      </c>
    </row>
    <row r="207" spans="1:1" ht="15.75" customHeight="1" x14ac:dyDescent="0.3">
      <c r="A207" s="5">
        <v>45133</v>
      </c>
    </row>
    <row r="208" spans="1:1" ht="15.75" customHeight="1" x14ac:dyDescent="0.3">
      <c r="A208" s="5">
        <v>45134</v>
      </c>
    </row>
    <row r="209" spans="1:1" ht="15.75" customHeight="1" x14ac:dyDescent="0.3">
      <c r="A209" s="5">
        <v>45135</v>
      </c>
    </row>
    <row r="210" spans="1:1" ht="15.75" customHeight="1" x14ac:dyDescent="0.3">
      <c r="A210" s="5">
        <v>45136</v>
      </c>
    </row>
    <row r="211" spans="1:1" ht="15.75" customHeight="1" x14ac:dyDescent="0.3">
      <c r="A211" s="5">
        <v>45137</v>
      </c>
    </row>
    <row r="212" spans="1:1" ht="15.75" customHeight="1" x14ac:dyDescent="0.3">
      <c r="A212" s="5">
        <v>45138</v>
      </c>
    </row>
    <row r="213" spans="1:1" ht="15.75" customHeight="1" x14ac:dyDescent="0.3">
      <c r="A213" s="5">
        <v>45139</v>
      </c>
    </row>
    <row r="214" spans="1:1" ht="15.75" customHeight="1" x14ac:dyDescent="0.3">
      <c r="A214" s="5">
        <v>45140</v>
      </c>
    </row>
    <row r="215" spans="1:1" ht="15.75" customHeight="1" x14ac:dyDescent="0.3">
      <c r="A215" s="5">
        <v>45141</v>
      </c>
    </row>
    <row r="216" spans="1:1" ht="15.75" customHeight="1" x14ac:dyDescent="0.3">
      <c r="A216" s="5">
        <v>45142</v>
      </c>
    </row>
    <row r="217" spans="1:1" ht="15.75" customHeight="1" x14ac:dyDescent="0.3">
      <c r="A217" s="5">
        <v>45143</v>
      </c>
    </row>
    <row r="218" spans="1:1" ht="15.75" customHeight="1" x14ac:dyDescent="0.3">
      <c r="A218" s="5">
        <v>45144</v>
      </c>
    </row>
    <row r="219" spans="1:1" ht="15.75" customHeight="1" x14ac:dyDescent="0.3">
      <c r="A219" s="5">
        <v>45145</v>
      </c>
    </row>
    <row r="220" spans="1:1" ht="15.75" customHeight="1" x14ac:dyDescent="0.3">
      <c r="A220" s="5">
        <v>45146</v>
      </c>
    </row>
    <row r="221" spans="1:1" ht="15.75" customHeight="1" x14ac:dyDescent="0.3">
      <c r="A221" s="5">
        <v>45147</v>
      </c>
    </row>
    <row r="222" spans="1:1" ht="15.75" customHeight="1" x14ac:dyDescent="0.3">
      <c r="A222" s="5">
        <v>45148</v>
      </c>
    </row>
    <row r="223" spans="1:1" ht="15.75" customHeight="1" x14ac:dyDescent="0.3">
      <c r="A223" s="5">
        <v>45149</v>
      </c>
    </row>
    <row r="224" spans="1:1" ht="15.75" customHeight="1" x14ac:dyDescent="0.3">
      <c r="A224" s="5">
        <v>45150</v>
      </c>
    </row>
    <row r="225" spans="1:1" ht="15.75" customHeight="1" x14ac:dyDescent="0.3">
      <c r="A225" s="5">
        <v>45151</v>
      </c>
    </row>
    <row r="226" spans="1:1" ht="15.75" customHeight="1" x14ac:dyDescent="0.3">
      <c r="A226" s="5">
        <v>45152</v>
      </c>
    </row>
    <row r="227" spans="1:1" ht="15.75" customHeight="1" x14ac:dyDescent="0.3">
      <c r="A227" s="5">
        <v>45153</v>
      </c>
    </row>
    <row r="228" spans="1:1" ht="15.75" customHeight="1" x14ac:dyDescent="0.3">
      <c r="A228" s="5">
        <v>45154</v>
      </c>
    </row>
    <row r="229" spans="1:1" ht="15.75" customHeight="1" x14ac:dyDescent="0.3">
      <c r="A229" s="5">
        <v>45155</v>
      </c>
    </row>
    <row r="230" spans="1:1" ht="15.75" customHeight="1" x14ac:dyDescent="0.3">
      <c r="A230" s="5">
        <v>45156</v>
      </c>
    </row>
    <row r="231" spans="1:1" ht="15.75" customHeight="1" x14ac:dyDescent="0.3">
      <c r="A231" s="5">
        <v>45157</v>
      </c>
    </row>
    <row r="232" spans="1:1" ht="15.75" customHeight="1" x14ac:dyDescent="0.3">
      <c r="A232" s="5">
        <v>45158</v>
      </c>
    </row>
    <row r="233" spans="1:1" ht="15.75" customHeight="1" x14ac:dyDescent="0.3">
      <c r="A233" s="5">
        <v>45159</v>
      </c>
    </row>
    <row r="234" spans="1:1" ht="15.75" customHeight="1" x14ac:dyDescent="0.3">
      <c r="A234" s="5">
        <v>45160</v>
      </c>
    </row>
    <row r="235" spans="1:1" ht="15.75" customHeight="1" x14ac:dyDescent="0.3">
      <c r="A235" s="5">
        <v>45161</v>
      </c>
    </row>
    <row r="236" spans="1:1" ht="15.75" customHeight="1" x14ac:dyDescent="0.3">
      <c r="A236" s="5">
        <v>45162</v>
      </c>
    </row>
    <row r="237" spans="1:1" ht="15.75" customHeight="1" x14ac:dyDescent="0.3">
      <c r="A237" s="5">
        <v>45163</v>
      </c>
    </row>
    <row r="238" spans="1:1" ht="15.75" customHeight="1" x14ac:dyDescent="0.3">
      <c r="A238" s="5">
        <v>45164</v>
      </c>
    </row>
    <row r="239" spans="1:1" ht="15.75" customHeight="1" x14ac:dyDescent="0.3">
      <c r="A239" s="5">
        <v>45165</v>
      </c>
    </row>
    <row r="240" spans="1:1" ht="15.75" customHeight="1" x14ac:dyDescent="0.3">
      <c r="A240" s="5">
        <v>45166</v>
      </c>
    </row>
    <row r="241" spans="1:1" ht="15.75" customHeight="1" x14ac:dyDescent="0.3">
      <c r="A241" s="5">
        <v>45167</v>
      </c>
    </row>
    <row r="242" spans="1:1" ht="15.75" customHeight="1" x14ac:dyDescent="0.3">
      <c r="A242" s="5">
        <v>45168</v>
      </c>
    </row>
    <row r="243" spans="1:1" ht="15.75" customHeight="1" x14ac:dyDescent="0.3">
      <c r="A243" s="5">
        <v>45169</v>
      </c>
    </row>
    <row r="244" spans="1:1" ht="15.75" customHeight="1" x14ac:dyDescent="0.3">
      <c r="A244" s="5">
        <v>45170</v>
      </c>
    </row>
    <row r="245" spans="1:1" ht="15.75" customHeight="1" x14ac:dyDescent="0.3">
      <c r="A245" s="5">
        <v>45171</v>
      </c>
    </row>
    <row r="246" spans="1:1" ht="15.75" customHeight="1" x14ac:dyDescent="0.3">
      <c r="A246" s="5">
        <v>45172</v>
      </c>
    </row>
    <row r="247" spans="1:1" ht="15.75" customHeight="1" x14ac:dyDescent="0.3">
      <c r="A247" s="5">
        <v>45173</v>
      </c>
    </row>
    <row r="248" spans="1:1" ht="15.75" customHeight="1" x14ac:dyDescent="0.3">
      <c r="A248" s="5">
        <v>45174</v>
      </c>
    </row>
    <row r="249" spans="1:1" ht="15.75" customHeight="1" x14ac:dyDescent="0.3">
      <c r="A249" s="5">
        <v>45175</v>
      </c>
    </row>
    <row r="250" spans="1:1" ht="15.75" customHeight="1" x14ac:dyDescent="0.3">
      <c r="A250" s="5">
        <v>45176</v>
      </c>
    </row>
    <row r="251" spans="1:1" ht="15.75" customHeight="1" x14ac:dyDescent="0.3">
      <c r="A251" s="5">
        <v>45177</v>
      </c>
    </row>
    <row r="252" spans="1:1" ht="15.75" customHeight="1" x14ac:dyDescent="0.3">
      <c r="A252" s="5">
        <v>45178</v>
      </c>
    </row>
    <row r="253" spans="1:1" ht="15.75" customHeight="1" x14ac:dyDescent="0.3">
      <c r="A253" s="5">
        <v>45179</v>
      </c>
    </row>
    <row r="254" spans="1:1" ht="15.75" customHeight="1" x14ac:dyDescent="0.3">
      <c r="A254" s="5">
        <v>45180</v>
      </c>
    </row>
    <row r="255" spans="1:1" ht="15.75" customHeight="1" x14ac:dyDescent="0.3">
      <c r="A255" s="5">
        <v>45181</v>
      </c>
    </row>
    <row r="256" spans="1:1" ht="15.75" customHeight="1" x14ac:dyDescent="0.3">
      <c r="A256" s="5">
        <v>45182</v>
      </c>
    </row>
    <row r="257" spans="1:1" ht="15.75" customHeight="1" x14ac:dyDescent="0.3">
      <c r="A257" s="5">
        <v>45183</v>
      </c>
    </row>
    <row r="258" spans="1:1" ht="15.75" customHeight="1" x14ac:dyDescent="0.3">
      <c r="A258" s="5">
        <v>45184</v>
      </c>
    </row>
    <row r="259" spans="1:1" ht="15.75" customHeight="1" x14ac:dyDescent="0.3">
      <c r="A259" s="5">
        <v>45185</v>
      </c>
    </row>
    <row r="260" spans="1:1" ht="15.75" customHeight="1" x14ac:dyDescent="0.3">
      <c r="A260" s="5">
        <v>45186</v>
      </c>
    </row>
    <row r="261" spans="1:1" ht="15.75" customHeight="1" x14ac:dyDescent="0.3">
      <c r="A261" s="5">
        <v>45187</v>
      </c>
    </row>
    <row r="262" spans="1:1" ht="15.75" customHeight="1" x14ac:dyDescent="0.3">
      <c r="A262" s="5">
        <v>45188</v>
      </c>
    </row>
    <row r="263" spans="1:1" ht="15.75" customHeight="1" x14ac:dyDescent="0.3">
      <c r="A263" s="5">
        <v>45189</v>
      </c>
    </row>
    <row r="264" spans="1:1" ht="15.75" customHeight="1" x14ac:dyDescent="0.3">
      <c r="A264" s="5">
        <v>45190</v>
      </c>
    </row>
    <row r="265" spans="1:1" ht="15.75" customHeight="1" x14ac:dyDescent="0.3">
      <c r="A265" s="5">
        <v>45191</v>
      </c>
    </row>
    <row r="266" spans="1:1" ht="15.75" customHeight="1" x14ac:dyDescent="0.3">
      <c r="A266" s="5">
        <v>45192</v>
      </c>
    </row>
    <row r="267" spans="1:1" ht="15.75" customHeight="1" x14ac:dyDescent="0.3">
      <c r="A267" s="5">
        <v>45193</v>
      </c>
    </row>
    <row r="268" spans="1:1" ht="15.75" customHeight="1" x14ac:dyDescent="0.3">
      <c r="A268" s="5">
        <v>45194</v>
      </c>
    </row>
    <row r="269" spans="1:1" ht="15.75" customHeight="1" x14ac:dyDescent="0.3">
      <c r="A269" s="5">
        <v>45195</v>
      </c>
    </row>
    <row r="270" spans="1:1" ht="15.75" customHeight="1" x14ac:dyDescent="0.3">
      <c r="A270" s="5">
        <v>45196</v>
      </c>
    </row>
    <row r="271" spans="1:1" ht="15.75" customHeight="1" x14ac:dyDescent="0.3">
      <c r="A271" s="5">
        <v>45197</v>
      </c>
    </row>
    <row r="272" spans="1:1" ht="15.75" customHeight="1" x14ac:dyDescent="0.3">
      <c r="A272" s="5">
        <v>45198</v>
      </c>
    </row>
    <row r="273" spans="1:1" ht="15.75" customHeight="1" x14ac:dyDescent="0.3">
      <c r="A273" s="5">
        <v>45199</v>
      </c>
    </row>
    <row r="274" spans="1:1" ht="15.75" customHeight="1" x14ac:dyDescent="0.3">
      <c r="A274" s="5">
        <v>45200</v>
      </c>
    </row>
    <row r="275" spans="1:1" ht="15.75" customHeight="1" x14ac:dyDescent="0.3">
      <c r="A275" s="5">
        <v>45201</v>
      </c>
    </row>
    <row r="276" spans="1:1" ht="15.75" customHeight="1" x14ac:dyDescent="0.3">
      <c r="A276" s="5">
        <v>45202</v>
      </c>
    </row>
    <row r="277" spans="1:1" ht="15.75" customHeight="1" x14ac:dyDescent="0.3">
      <c r="A277" s="5">
        <v>45203</v>
      </c>
    </row>
    <row r="278" spans="1:1" ht="15.75" customHeight="1" x14ac:dyDescent="0.3">
      <c r="A278" s="5">
        <v>45204</v>
      </c>
    </row>
    <row r="279" spans="1:1" ht="15.75" customHeight="1" x14ac:dyDescent="0.3">
      <c r="A279" s="5">
        <v>45205</v>
      </c>
    </row>
    <row r="280" spans="1:1" ht="15.75" customHeight="1" x14ac:dyDescent="0.3">
      <c r="A280" s="5">
        <v>45206</v>
      </c>
    </row>
    <row r="281" spans="1:1" ht="15.75" customHeight="1" x14ac:dyDescent="0.3">
      <c r="A281" s="5">
        <v>45207</v>
      </c>
    </row>
    <row r="282" spans="1:1" ht="15.75" customHeight="1" x14ac:dyDescent="0.3">
      <c r="A282" s="5">
        <v>45208</v>
      </c>
    </row>
    <row r="283" spans="1:1" ht="15.75" customHeight="1" x14ac:dyDescent="0.3">
      <c r="A283" s="5">
        <v>45209</v>
      </c>
    </row>
    <row r="284" spans="1:1" ht="15.75" customHeight="1" x14ac:dyDescent="0.3">
      <c r="A284" s="5">
        <v>45210</v>
      </c>
    </row>
    <row r="285" spans="1:1" ht="15.75" customHeight="1" x14ac:dyDescent="0.3">
      <c r="A285" s="5">
        <v>45211</v>
      </c>
    </row>
    <row r="286" spans="1:1" ht="15.75" customHeight="1" x14ac:dyDescent="0.3">
      <c r="A286" s="5">
        <v>45212</v>
      </c>
    </row>
    <row r="287" spans="1:1" ht="15.75" customHeight="1" x14ac:dyDescent="0.3">
      <c r="A287" s="5">
        <v>45213</v>
      </c>
    </row>
    <row r="288" spans="1:1" ht="15.75" customHeight="1" x14ac:dyDescent="0.3">
      <c r="A288" s="5">
        <v>45214</v>
      </c>
    </row>
    <row r="289" spans="1:1" ht="15.75" customHeight="1" x14ac:dyDescent="0.3">
      <c r="A289" s="5">
        <v>45215</v>
      </c>
    </row>
    <row r="290" spans="1:1" ht="15.75" customHeight="1" x14ac:dyDescent="0.3">
      <c r="A290" s="5">
        <v>45216</v>
      </c>
    </row>
    <row r="291" spans="1:1" ht="15.75" customHeight="1" x14ac:dyDescent="0.3">
      <c r="A291" s="5">
        <v>45217</v>
      </c>
    </row>
    <row r="292" spans="1:1" ht="15.75" customHeight="1" x14ac:dyDescent="0.3">
      <c r="A292" s="5">
        <v>45218</v>
      </c>
    </row>
    <row r="293" spans="1:1" ht="15.75" customHeight="1" x14ac:dyDescent="0.3">
      <c r="A293" s="5">
        <v>45219</v>
      </c>
    </row>
    <row r="294" spans="1:1" ht="15.75" customHeight="1" x14ac:dyDescent="0.3">
      <c r="A294" s="5">
        <v>45220</v>
      </c>
    </row>
    <row r="295" spans="1:1" ht="15.75" customHeight="1" x14ac:dyDescent="0.3">
      <c r="A295" s="5">
        <v>45221</v>
      </c>
    </row>
    <row r="296" spans="1:1" ht="15.75" customHeight="1" x14ac:dyDescent="0.3">
      <c r="A296" s="5">
        <v>45222</v>
      </c>
    </row>
    <row r="297" spans="1:1" ht="15.75" customHeight="1" x14ac:dyDescent="0.3">
      <c r="A297" s="5">
        <v>45223</v>
      </c>
    </row>
    <row r="298" spans="1:1" ht="15.75" customHeight="1" x14ac:dyDescent="0.3">
      <c r="A298" s="5">
        <v>45224</v>
      </c>
    </row>
    <row r="299" spans="1:1" ht="15.75" customHeight="1" x14ac:dyDescent="0.3">
      <c r="A299" s="5">
        <v>45225</v>
      </c>
    </row>
    <row r="300" spans="1:1" ht="15.75" customHeight="1" x14ac:dyDescent="0.3">
      <c r="A300" s="5">
        <v>45226</v>
      </c>
    </row>
    <row r="301" spans="1:1" ht="15.75" customHeight="1" x14ac:dyDescent="0.3">
      <c r="A301" s="5">
        <v>45227</v>
      </c>
    </row>
    <row r="302" spans="1:1" ht="15.75" customHeight="1" x14ac:dyDescent="0.3">
      <c r="A302" s="5">
        <v>45228</v>
      </c>
    </row>
    <row r="303" spans="1:1" ht="15.75" customHeight="1" x14ac:dyDescent="0.3">
      <c r="A303" s="5">
        <v>45229</v>
      </c>
    </row>
    <row r="304" spans="1:1" ht="15.75" customHeight="1" x14ac:dyDescent="0.3">
      <c r="A304" s="5">
        <v>45230</v>
      </c>
    </row>
    <row r="305" spans="1:1" ht="15.75" customHeight="1" x14ac:dyDescent="0.3">
      <c r="A305" s="5">
        <v>45231</v>
      </c>
    </row>
    <row r="306" spans="1:1" ht="15.75" customHeight="1" x14ac:dyDescent="0.3">
      <c r="A306" s="5">
        <v>45232</v>
      </c>
    </row>
    <row r="307" spans="1:1" ht="15.75" customHeight="1" x14ac:dyDescent="0.3">
      <c r="A307" s="5">
        <v>45233</v>
      </c>
    </row>
    <row r="308" spans="1:1" ht="15.75" customHeight="1" x14ac:dyDescent="0.3">
      <c r="A308" s="5">
        <v>45234</v>
      </c>
    </row>
    <row r="309" spans="1:1" ht="15.75" customHeight="1" x14ac:dyDescent="0.3">
      <c r="A309" s="5">
        <v>45235</v>
      </c>
    </row>
    <row r="310" spans="1:1" ht="15.75" customHeight="1" x14ac:dyDescent="0.3">
      <c r="A310" s="5">
        <v>45236</v>
      </c>
    </row>
    <row r="311" spans="1:1" ht="15.75" customHeight="1" x14ac:dyDescent="0.3">
      <c r="A311" s="5">
        <v>45237</v>
      </c>
    </row>
    <row r="312" spans="1:1" ht="15.75" customHeight="1" x14ac:dyDescent="0.3">
      <c r="A312" s="5">
        <v>45238</v>
      </c>
    </row>
    <row r="313" spans="1:1" ht="15.75" customHeight="1" x14ac:dyDescent="0.3">
      <c r="A313" s="5">
        <v>45239</v>
      </c>
    </row>
    <row r="314" spans="1:1" ht="15.75" customHeight="1" x14ac:dyDescent="0.3">
      <c r="A314" s="5">
        <v>45240</v>
      </c>
    </row>
    <row r="315" spans="1:1" ht="15.75" customHeight="1" x14ac:dyDescent="0.3">
      <c r="A315" s="5">
        <v>45241</v>
      </c>
    </row>
    <row r="316" spans="1:1" ht="15.75" customHeight="1" x14ac:dyDescent="0.3">
      <c r="A316" s="5">
        <v>45242</v>
      </c>
    </row>
    <row r="317" spans="1:1" ht="15.75" customHeight="1" x14ac:dyDescent="0.3">
      <c r="A317" s="5">
        <v>45243</v>
      </c>
    </row>
    <row r="318" spans="1:1" ht="15.75" customHeight="1" x14ac:dyDescent="0.3">
      <c r="A318" s="5">
        <v>45244</v>
      </c>
    </row>
    <row r="319" spans="1:1" ht="15.75" customHeight="1" x14ac:dyDescent="0.3">
      <c r="A319" s="5">
        <v>45245</v>
      </c>
    </row>
    <row r="320" spans="1:1" ht="15.75" customHeight="1" x14ac:dyDescent="0.3">
      <c r="A320" s="5">
        <v>45246</v>
      </c>
    </row>
    <row r="321" spans="1:1" ht="15.75" customHeight="1" x14ac:dyDescent="0.3">
      <c r="A321" s="5">
        <v>45247</v>
      </c>
    </row>
    <row r="322" spans="1:1" ht="15.75" customHeight="1" x14ac:dyDescent="0.3">
      <c r="A322" s="5">
        <v>45248</v>
      </c>
    </row>
    <row r="323" spans="1:1" ht="15.75" customHeight="1" x14ac:dyDescent="0.3">
      <c r="A323" s="5">
        <v>45249</v>
      </c>
    </row>
    <row r="324" spans="1:1" ht="15.75" customHeight="1" x14ac:dyDescent="0.3">
      <c r="A324" s="5">
        <v>45250</v>
      </c>
    </row>
    <row r="325" spans="1:1" ht="15.75" customHeight="1" x14ac:dyDescent="0.3">
      <c r="A325" s="5">
        <v>45251</v>
      </c>
    </row>
    <row r="326" spans="1:1" ht="15.75" customHeight="1" x14ac:dyDescent="0.3">
      <c r="A326" s="5">
        <v>45252</v>
      </c>
    </row>
    <row r="327" spans="1:1" ht="15.75" customHeight="1" x14ac:dyDescent="0.3">
      <c r="A327" s="5">
        <v>45253</v>
      </c>
    </row>
    <row r="328" spans="1:1" ht="15.75" customHeight="1" x14ac:dyDescent="0.3">
      <c r="A328" s="5">
        <v>45254</v>
      </c>
    </row>
    <row r="329" spans="1:1" ht="15.75" customHeight="1" x14ac:dyDescent="0.3">
      <c r="A329" s="5">
        <v>45255</v>
      </c>
    </row>
    <row r="330" spans="1:1" ht="15.75" customHeight="1" x14ac:dyDescent="0.3">
      <c r="A330" s="5">
        <v>45256</v>
      </c>
    </row>
    <row r="331" spans="1:1" ht="15.75" customHeight="1" x14ac:dyDescent="0.3">
      <c r="A331" s="5">
        <v>45257</v>
      </c>
    </row>
    <row r="332" spans="1:1" ht="15.75" customHeight="1" x14ac:dyDescent="0.3">
      <c r="A332" s="5">
        <v>45258</v>
      </c>
    </row>
    <row r="333" spans="1:1" ht="15.75" customHeight="1" x14ac:dyDescent="0.3">
      <c r="A333" s="5">
        <v>45259</v>
      </c>
    </row>
    <row r="334" spans="1:1" ht="15.75" customHeight="1" x14ac:dyDescent="0.3">
      <c r="A334" s="5">
        <v>45260</v>
      </c>
    </row>
    <row r="335" spans="1:1" ht="15.75" customHeight="1" x14ac:dyDescent="0.3">
      <c r="A335" s="5">
        <v>45261</v>
      </c>
    </row>
    <row r="336" spans="1:1" ht="15.75" customHeight="1" x14ac:dyDescent="0.3">
      <c r="A336" s="5">
        <v>45262</v>
      </c>
    </row>
    <row r="337" spans="1:1" ht="15.75" customHeight="1" x14ac:dyDescent="0.3">
      <c r="A337" s="5">
        <v>45263</v>
      </c>
    </row>
    <row r="338" spans="1:1" ht="15.75" customHeight="1" x14ac:dyDescent="0.3">
      <c r="A338" s="5">
        <v>45264</v>
      </c>
    </row>
    <row r="339" spans="1:1" ht="15.75" customHeight="1" x14ac:dyDescent="0.3">
      <c r="A339" s="5">
        <v>45265</v>
      </c>
    </row>
    <row r="340" spans="1:1" ht="15.75" customHeight="1" x14ac:dyDescent="0.3">
      <c r="A340" s="5">
        <v>45266</v>
      </c>
    </row>
    <row r="341" spans="1:1" ht="15.75" customHeight="1" x14ac:dyDescent="0.3">
      <c r="A341" s="5">
        <v>45267</v>
      </c>
    </row>
    <row r="342" spans="1:1" ht="15.75" customHeight="1" x14ac:dyDescent="0.3">
      <c r="A342" s="5">
        <v>45268</v>
      </c>
    </row>
    <row r="343" spans="1:1" ht="15.75" customHeight="1" x14ac:dyDescent="0.3">
      <c r="A343" s="5">
        <v>45269</v>
      </c>
    </row>
    <row r="344" spans="1:1" ht="15.75" customHeight="1" x14ac:dyDescent="0.3">
      <c r="A344" s="5">
        <v>45270</v>
      </c>
    </row>
    <row r="345" spans="1:1" ht="15.75" customHeight="1" x14ac:dyDescent="0.3">
      <c r="A345" s="5">
        <v>45271</v>
      </c>
    </row>
    <row r="346" spans="1:1" ht="15.75" customHeight="1" x14ac:dyDescent="0.3">
      <c r="A346" s="5">
        <v>45272</v>
      </c>
    </row>
    <row r="347" spans="1:1" ht="15.75" customHeight="1" x14ac:dyDescent="0.3">
      <c r="A347" s="5">
        <v>45273</v>
      </c>
    </row>
    <row r="348" spans="1:1" ht="15.75" customHeight="1" x14ac:dyDescent="0.3">
      <c r="A348" s="5">
        <v>45274</v>
      </c>
    </row>
    <row r="349" spans="1:1" ht="15.75" customHeight="1" x14ac:dyDescent="0.3">
      <c r="A349" s="5">
        <v>45275</v>
      </c>
    </row>
    <row r="350" spans="1:1" ht="15.75" customHeight="1" x14ac:dyDescent="0.3">
      <c r="A350" s="5">
        <v>45276</v>
      </c>
    </row>
    <row r="351" spans="1:1" ht="15.75" customHeight="1" x14ac:dyDescent="0.3">
      <c r="A351" s="5">
        <v>45277</v>
      </c>
    </row>
    <row r="352" spans="1:1" ht="15.75" customHeight="1" x14ac:dyDescent="0.3">
      <c r="A352" s="5">
        <v>45278</v>
      </c>
    </row>
    <row r="353" spans="1:1" ht="15.75" customHeight="1" x14ac:dyDescent="0.3">
      <c r="A353" s="5">
        <v>45279</v>
      </c>
    </row>
    <row r="354" spans="1:1" ht="15.75" customHeight="1" x14ac:dyDescent="0.3">
      <c r="A354" s="5">
        <v>45280</v>
      </c>
    </row>
    <row r="355" spans="1:1" ht="15.75" customHeight="1" x14ac:dyDescent="0.3">
      <c r="A355" s="5">
        <v>45281</v>
      </c>
    </row>
    <row r="356" spans="1:1" ht="15.75" customHeight="1" x14ac:dyDescent="0.3">
      <c r="A356" s="5">
        <v>45282</v>
      </c>
    </row>
    <row r="357" spans="1:1" ht="15.75" customHeight="1" x14ac:dyDescent="0.3">
      <c r="A357" s="5">
        <v>45283</v>
      </c>
    </row>
    <row r="358" spans="1:1" ht="15.75" customHeight="1" x14ac:dyDescent="0.3">
      <c r="A358" s="5">
        <v>45284</v>
      </c>
    </row>
    <row r="359" spans="1:1" ht="15.75" customHeight="1" x14ac:dyDescent="0.3">
      <c r="A359" s="5">
        <v>45285</v>
      </c>
    </row>
    <row r="360" spans="1:1" ht="15.75" customHeight="1" x14ac:dyDescent="0.3">
      <c r="A360" s="5">
        <v>45286</v>
      </c>
    </row>
    <row r="361" spans="1:1" ht="15.75" customHeight="1" x14ac:dyDescent="0.3">
      <c r="A361" s="5">
        <v>45287</v>
      </c>
    </row>
    <row r="362" spans="1:1" ht="15.75" customHeight="1" x14ac:dyDescent="0.3">
      <c r="A362" s="5">
        <v>45288</v>
      </c>
    </row>
    <row r="363" spans="1:1" ht="15.75" customHeight="1" x14ac:dyDescent="0.3">
      <c r="A363" s="5">
        <v>45289</v>
      </c>
    </row>
    <row r="364" spans="1:1" ht="15.75" customHeight="1" x14ac:dyDescent="0.3">
      <c r="A364" s="5">
        <v>45290</v>
      </c>
    </row>
    <row r="365" spans="1:1" ht="15.75" customHeight="1" x14ac:dyDescent="0.3">
      <c r="A365" s="5">
        <v>45291</v>
      </c>
    </row>
    <row r="366" spans="1:1" ht="15.75" customHeight="1" x14ac:dyDescent="0.3">
      <c r="A366" s="5">
        <v>45292</v>
      </c>
    </row>
    <row r="367" spans="1:1" ht="15.75" customHeight="1" x14ac:dyDescent="0.3">
      <c r="A367" s="5">
        <v>45293</v>
      </c>
    </row>
    <row r="368" spans="1:1" ht="15.75" customHeight="1" x14ac:dyDescent="0.3">
      <c r="A368" s="5">
        <v>45294</v>
      </c>
    </row>
    <row r="369" spans="1:1" ht="15.75" customHeight="1" x14ac:dyDescent="0.3">
      <c r="A369" s="5">
        <v>45295</v>
      </c>
    </row>
    <row r="370" spans="1:1" ht="15.75" customHeight="1" x14ac:dyDescent="0.3">
      <c r="A370" s="5">
        <v>45296</v>
      </c>
    </row>
    <row r="371" spans="1:1" ht="15.75" customHeight="1" x14ac:dyDescent="0.3">
      <c r="A371" s="5">
        <v>45297</v>
      </c>
    </row>
    <row r="372" spans="1:1" ht="15.75" customHeight="1" x14ac:dyDescent="0.3">
      <c r="A372" s="5">
        <v>45298</v>
      </c>
    </row>
    <row r="373" spans="1:1" ht="15.75" customHeight="1" x14ac:dyDescent="0.3">
      <c r="A373" s="5">
        <v>45299</v>
      </c>
    </row>
    <row r="374" spans="1:1" ht="15.75" customHeight="1" x14ac:dyDescent="0.3">
      <c r="A374" s="5">
        <v>45300</v>
      </c>
    </row>
    <row r="375" spans="1:1" ht="15.75" customHeight="1" x14ac:dyDescent="0.3">
      <c r="A375" s="5">
        <v>45301</v>
      </c>
    </row>
    <row r="376" spans="1:1" ht="15.75" customHeight="1" x14ac:dyDescent="0.3">
      <c r="A376" s="5">
        <v>45302</v>
      </c>
    </row>
    <row r="377" spans="1:1" ht="15.75" customHeight="1" x14ac:dyDescent="0.3">
      <c r="A377" s="5">
        <v>45303</v>
      </c>
    </row>
    <row r="378" spans="1:1" ht="15.75" customHeight="1" x14ac:dyDescent="0.3">
      <c r="A378" s="5">
        <v>45304</v>
      </c>
    </row>
    <row r="379" spans="1:1" ht="15.75" customHeight="1" x14ac:dyDescent="0.3">
      <c r="A379" s="5">
        <v>45305</v>
      </c>
    </row>
    <row r="380" spans="1:1" ht="15.75" customHeight="1" x14ac:dyDescent="0.3">
      <c r="A380" s="5">
        <v>45306</v>
      </c>
    </row>
    <row r="381" spans="1:1" ht="15.75" customHeight="1" x14ac:dyDescent="0.3">
      <c r="A381" s="5">
        <v>45307</v>
      </c>
    </row>
    <row r="382" spans="1:1" ht="15.75" customHeight="1" x14ac:dyDescent="0.3">
      <c r="A382" s="5">
        <v>45308</v>
      </c>
    </row>
    <row r="383" spans="1:1" ht="15.75" customHeight="1" x14ac:dyDescent="0.3">
      <c r="A383" s="5">
        <v>45309</v>
      </c>
    </row>
    <row r="384" spans="1:1" ht="15.75" customHeight="1" x14ac:dyDescent="0.3">
      <c r="A384" s="5">
        <v>45310</v>
      </c>
    </row>
    <row r="385" spans="1:1" ht="15.75" customHeight="1" x14ac:dyDescent="0.3">
      <c r="A385" s="5">
        <v>45311</v>
      </c>
    </row>
    <row r="386" spans="1:1" ht="15.75" customHeight="1" x14ac:dyDescent="0.3">
      <c r="A386" s="5">
        <v>45312</v>
      </c>
    </row>
    <row r="387" spans="1:1" ht="15.75" customHeight="1" x14ac:dyDescent="0.3">
      <c r="A387" s="5">
        <v>45313</v>
      </c>
    </row>
    <row r="388" spans="1:1" ht="15.75" customHeight="1" x14ac:dyDescent="0.3">
      <c r="A388" s="5">
        <v>45314</v>
      </c>
    </row>
    <row r="389" spans="1:1" ht="15.75" customHeight="1" x14ac:dyDescent="0.3">
      <c r="A389" s="5">
        <v>45315</v>
      </c>
    </row>
    <row r="390" spans="1:1" ht="15.75" customHeight="1" x14ac:dyDescent="0.3">
      <c r="A390" s="5">
        <v>45316</v>
      </c>
    </row>
    <row r="391" spans="1:1" ht="15.75" customHeight="1" x14ac:dyDescent="0.3">
      <c r="A391" s="5">
        <v>45317</v>
      </c>
    </row>
    <row r="392" spans="1:1" ht="15.75" customHeight="1" x14ac:dyDescent="0.3">
      <c r="A392" s="5">
        <v>45318</v>
      </c>
    </row>
    <row r="393" spans="1:1" ht="15.75" customHeight="1" x14ac:dyDescent="0.3">
      <c r="A393" s="5">
        <v>45319</v>
      </c>
    </row>
    <row r="394" spans="1:1" ht="15.75" customHeight="1" x14ac:dyDescent="0.3">
      <c r="A394" s="5">
        <v>45320</v>
      </c>
    </row>
    <row r="395" spans="1:1" ht="15.75" customHeight="1" x14ac:dyDescent="0.3">
      <c r="A395" s="5">
        <v>45321</v>
      </c>
    </row>
    <row r="396" spans="1:1" ht="15.75" customHeight="1" x14ac:dyDescent="0.3">
      <c r="A396" s="5">
        <v>45322</v>
      </c>
    </row>
    <row r="397" spans="1:1" ht="15.75" customHeight="1" x14ac:dyDescent="0.3">
      <c r="A397" s="5">
        <v>45323</v>
      </c>
    </row>
    <row r="398" spans="1:1" ht="15.75" customHeight="1" x14ac:dyDescent="0.3">
      <c r="A398" s="5">
        <v>45324</v>
      </c>
    </row>
    <row r="399" spans="1:1" ht="15.75" customHeight="1" x14ac:dyDescent="0.3">
      <c r="A399" s="5">
        <v>45325</v>
      </c>
    </row>
    <row r="400" spans="1:1" ht="15.75" customHeight="1" x14ac:dyDescent="0.3">
      <c r="A400" s="5">
        <v>45326</v>
      </c>
    </row>
    <row r="401" spans="1:1" ht="15.75" customHeight="1" x14ac:dyDescent="0.3">
      <c r="A401" s="5">
        <v>45327</v>
      </c>
    </row>
    <row r="402" spans="1:1" ht="15.75" customHeight="1" x14ac:dyDescent="0.3">
      <c r="A402" s="5">
        <v>45328</v>
      </c>
    </row>
    <row r="403" spans="1:1" ht="15.75" customHeight="1" x14ac:dyDescent="0.3">
      <c r="A403" s="5">
        <v>45329</v>
      </c>
    </row>
    <row r="404" spans="1:1" ht="15.75" customHeight="1" x14ac:dyDescent="0.3">
      <c r="A404" s="5">
        <v>45330</v>
      </c>
    </row>
    <row r="405" spans="1:1" ht="15.75" customHeight="1" x14ac:dyDescent="0.3">
      <c r="A405" s="5">
        <v>45331</v>
      </c>
    </row>
    <row r="406" spans="1:1" ht="15.75" customHeight="1" x14ac:dyDescent="0.3">
      <c r="A406" s="5">
        <v>45332</v>
      </c>
    </row>
    <row r="407" spans="1:1" ht="15.75" customHeight="1" x14ac:dyDescent="0.3">
      <c r="A407" s="5">
        <v>45333</v>
      </c>
    </row>
    <row r="408" spans="1:1" ht="15.75" customHeight="1" x14ac:dyDescent="0.3">
      <c r="A408" s="5">
        <v>45334</v>
      </c>
    </row>
    <row r="409" spans="1:1" ht="15.75" customHeight="1" x14ac:dyDescent="0.3">
      <c r="A409" s="5">
        <v>45335</v>
      </c>
    </row>
    <row r="410" spans="1:1" ht="15.75" customHeight="1" x14ac:dyDescent="0.3">
      <c r="A410" s="5">
        <v>45336</v>
      </c>
    </row>
    <row r="411" spans="1:1" ht="15.75" customHeight="1" x14ac:dyDescent="0.3">
      <c r="A411" s="5">
        <v>45337</v>
      </c>
    </row>
    <row r="412" spans="1:1" ht="15.75" customHeight="1" x14ac:dyDescent="0.3">
      <c r="A412" s="5">
        <v>45338</v>
      </c>
    </row>
    <row r="413" spans="1:1" ht="15.75" customHeight="1" x14ac:dyDescent="0.3">
      <c r="A413" s="5">
        <v>45339</v>
      </c>
    </row>
    <row r="414" spans="1:1" ht="15.75" customHeight="1" x14ac:dyDescent="0.3">
      <c r="A414" s="5">
        <v>45340</v>
      </c>
    </row>
    <row r="415" spans="1:1" ht="15.75" customHeight="1" x14ac:dyDescent="0.3">
      <c r="A415" s="5">
        <v>45341</v>
      </c>
    </row>
    <row r="416" spans="1:1" ht="15.75" customHeight="1" x14ac:dyDescent="0.3">
      <c r="A416" s="5">
        <v>45342</v>
      </c>
    </row>
    <row r="417" spans="1:1" ht="15.75" customHeight="1" x14ac:dyDescent="0.3">
      <c r="A417" s="5">
        <v>45343</v>
      </c>
    </row>
    <row r="418" spans="1:1" ht="15.75" customHeight="1" x14ac:dyDescent="0.3">
      <c r="A418" s="5">
        <v>45344</v>
      </c>
    </row>
    <row r="419" spans="1:1" ht="15.75" customHeight="1" x14ac:dyDescent="0.3">
      <c r="A419" s="5">
        <v>45345</v>
      </c>
    </row>
    <row r="420" spans="1:1" ht="15.75" customHeight="1" x14ac:dyDescent="0.3">
      <c r="A420" s="5">
        <v>45346</v>
      </c>
    </row>
    <row r="421" spans="1:1" ht="15.75" customHeight="1" x14ac:dyDescent="0.3">
      <c r="A421" s="5">
        <v>45347</v>
      </c>
    </row>
    <row r="422" spans="1:1" ht="15.75" customHeight="1" x14ac:dyDescent="0.3">
      <c r="A422" s="5">
        <v>45348</v>
      </c>
    </row>
    <row r="423" spans="1:1" ht="15.75" customHeight="1" x14ac:dyDescent="0.3">
      <c r="A423" s="5">
        <v>45349</v>
      </c>
    </row>
    <row r="424" spans="1:1" ht="15.75" customHeight="1" x14ac:dyDescent="0.3">
      <c r="A424" s="5">
        <v>45350</v>
      </c>
    </row>
    <row r="425" spans="1:1" ht="15.75" customHeight="1" x14ac:dyDescent="0.3">
      <c r="A425" s="5">
        <v>45351</v>
      </c>
    </row>
    <row r="426" spans="1:1" ht="15.75" customHeight="1" x14ac:dyDescent="0.3">
      <c r="A426" s="5">
        <v>45352</v>
      </c>
    </row>
    <row r="427" spans="1:1" ht="15.75" customHeight="1" x14ac:dyDescent="0.3">
      <c r="A427" s="5">
        <v>45353</v>
      </c>
    </row>
    <row r="428" spans="1:1" ht="15.75" customHeight="1" x14ac:dyDescent="0.3">
      <c r="A428" s="5">
        <v>45354</v>
      </c>
    </row>
    <row r="429" spans="1:1" ht="15.75" customHeight="1" x14ac:dyDescent="0.3">
      <c r="A429" s="5">
        <v>45355</v>
      </c>
    </row>
    <row r="430" spans="1:1" ht="15.75" customHeight="1" x14ac:dyDescent="0.3">
      <c r="A430" s="5">
        <v>45356</v>
      </c>
    </row>
    <row r="431" spans="1:1" ht="15.75" customHeight="1" x14ac:dyDescent="0.3">
      <c r="A431" s="5">
        <v>45357</v>
      </c>
    </row>
    <row r="432" spans="1:1" ht="15.75" customHeight="1" x14ac:dyDescent="0.3">
      <c r="A432" s="5">
        <v>45358</v>
      </c>
    </row>
    <row r="433" spans="1:1" ht="15.75" customHeight="1" x14ac:dyDescent="0.3">
      <c r="A433" s="5">
        <v>45359</v>
      </c>
    </row>
    <row r="434" spans="1:1" ht="15.75" customHeight="1" x14ac:dyDescent="0.3">
      <c r="A434" s="5">
        <v>45360</v>
      </c>
    </row>
    <row r="435" spans="1:1" ht="15.75" customHeight="1" x14ac:dyDescent="0.3">
      <c r="A435" s="5">
        <v>45361</v>
      </c>
    </row>
    <row r="436" spans="1:1" ht="15.75" customHeight="1" x14ac:dyDescent="0.3">
      <c r="A436" s="5">
        <v>45362</v>
      </c>
    </row>
    <row r="437" spans="1:1" ht="15.75" customHeight="1" x14ac:dyDescent="0.3">
      <c r="A437" s="5">
        <v>45363</v>
      </c>
    </row>
    <row r="438" spans="1:1" ht="15.75" customHeight="1" x14ac:dyDescent="0.3">
      <c r="A438" s="5">
        <v>45364</v>
      </c>
    </row>
    <row r="439" spans="1:1" ht="15.75" customHeight="1" x14ac:dyDescent="0.3">
      <c r="A439" s="5">
        <v>45365</v>
      </c>
    </row>
    <row r="440" spans="1:1" ht="15.75" customHeight="1" x14ac:dyDescent="0.3">
      <c r="A440" s="5">
        <v>45366</v>
      </c>
    </row>
    <row r="441" spans="1:1" ht="15.75" customHeight="1" x14ac:dyDescent="0.3">
      <c r="A441" s="5">
        <v>45367</v>
      </c>
    </row>
    <row r="442" spans="1:1" ht="15.75" customHeight="1" x14ac:dyDescent="0.3">
      <c r="A442" s="5">
        <v>45368</v>
      </c>
    </row>
    <row r="443" spans="1:1" ht="15.75" customHeight="1" x14ac:dyDescent="0.3">
      <c r="A443" s="5">
        <v>45369</v>
      </c>
    </row>
    <row r="444" spans="1:1" ht="15.75" customHeight="1" x14ac:dyDescent="0.3">
      <c r="A444" s="5">
        <v>45370</v>
      </c>
    </row>
    <row r="445" spans="1:1" ht="15.75" customHeight="1" x14ac:dyDescent="0.3">
      <c r="A445" s="5">
        <v>45371</v>
      </c>
    </row>
    <row r="446" spans="1:1" ht="15.75" customHeight="1" x14ac:dyDescent="0.3">
      <c r="A446" s="5">
        <v>45372</v>
      </c>
    </row>
    <row r="447" spans="1:1" ht="15.75" customHeight="1" x14ac:dyDescent="0.3">
      <c r="A447" s="5">
        <v>45373</v>
      </c>
    </row>
    <row r="448" spans="1:1" ht="15.75" customHeight="1" x14ac:dyDescent="0.3">
      <c r="A448" s="5">
        <v>45374</v>
      </c>
    </row>
    <row r="449" spans="1:1" ht="15.75" customHeight="1" x14ac:dyDescent="0.3">
      <c r="A449" s="5">
        <v>45375</v>
      </c>
    </row>
    <row r="450" spans="1:1" ht="15.75" customHeight="1" x14ac:dyDescent="0.3">
      <c r="A450" s="5">
        <v>45376</v>
      </c>
    </row>
    <row r="451" spans="1:1" ht="15.75" customHeight="1" x14ac:dyDescent="0.3">
      <c r="A451" s="5">
        <v>45377</v>
      </c>
    </row>
    <row r="452" spans="1:1" ht="15.75" customHeight="1" x14ac:dyDescent="0.3">
      <c r="A452" s="5">
        <v>45378</v>
      </c>
    </row>
    <row r="453" spans="1:1" ht="15.75" customHeight="1" x14ac:dyDescent="0.3">
      <c r="A453" s="5">
        <v>45379</v>
      </c>
    </row>
    <row r="454" spans="1:1" ht="15.75" customHeight="1" x14ac:dyDescent="0.3">
      <c r="A454" s="5">
        <v>45380</v>
      </c>
    </row>
    <row r="455" spans="1:1" ht="15.75" customHeight="1" x14ac:dyDescent="0.3">
      <c r="A455" s="5">
        <v>45381</v>
      </c>
    </row>
    <row r="456" spans="1:1" ht="15.75" customHeight="1" x14ac:dyDescent="0.3">
      <c r="A456" s="5">
        <v>45382</v>
      </c>
    </row>
    <row r="457" spans="1:1" ht="15.75" customHeight="1" x14ac:dyDescent="0.3">
      <c r="A457" s="5">
        <v>45383</v>
      </c>
    </row>
    <row r="458" spans="1:1" ht="15.75" customHeight="1" x14ac:dyDescent="0.3">
      <c r="A458" s="5">
        <v>45384</v>
      </c>
    </row>
    <row r="459" spans="1:1" ht="15.75" customHeight="1" x14ac:dyDescent="0.3">
      <c r="A459" s="5">
        <v>45385</v>
      </c>
    </row>
    <row r="460" spans="1:1" ht="15.75" customHeight="1" x14ac:dyDescent="0.3">
      <c r="A460" s="5">
        <v>45386</v>
      </c>
    </row>
    <row r="461" spans="1:1" ht="15.75" customHeight="1" x14ac:dyDescent="0.3">
      <c r="A461" s="5">
        <v>45387</v>
      </c>
    </row>
    <row r="462" spans="1:1" ht="15.75" customHeight="1" x14ac:dyDescent="0.3">
      <c r="A462" s="5">
        <v>45388</v>
      </c>
    </row>
    <row r="463" spans="1:1" ht="15.75" customHeight="1" x14ac:dyDescent="0.3">
      <c r="A463" s="5">
        <v>45389</v>
      </c>
    </row>
    <row r="464" spans="1:1" ht="15.75" customHeight="1" x14ac:dyDescent="0.3">
      <c r="A464" s="5">
        <v>45390</v>
      </c>
    </row>
    <row r="465" spans="1:1" ht="15.75" customHeight="1" x14ac:dyDescent="0.3">
      <c r="A465" s="5">
        <v>45391</v>
      </c>
    </row>
    <row r="466" spans="1:1" ht="15.75" customHeight="1" x14ac:dyDescent="0.3">
      <c r="A466" s="5">
        <v>45392</v>
      </c>
    </row>
    <row r="467" spans="1:1" ht="15.75" customHeight="1" x14ac:dyDescent="0.3">
      <c r="A467" s="5">
        <v>45393</v>
      </c>
    </row>
    <row r="468" spans="1:1" ht="15.75" customHeight="1" x14ac:dyDescent="0.3">
      <c r="A468" s="5">
        <v>45394</v>
      </c>
    </row>
    <row r="469" spans="1:1" ht="15.75" customHeight="1" x14ac:dyDescent="0.3">
      <c r="A469" s="5">
        <v>45395</v>
      </c>
    </row>
    <row r="470" spans="1:1" ht="15.75" customHeight="1" x14ac:dyDescent="0.3">
      <c r="A470" s="5">
        <v>45396</v>
      </c>
    </row>
    <row r="471" spans="1:1" ht="15.75" customHeight="1" x14ac:dyDescent="0.3">
      <c r="A471" s="5">
        <v>45397</v>
      </c>
    </row>
    <row r="472" spans="1:1" ht="15.75" customHeight="1" x14ac:dyDescent="0.3">
      <c r="A472" s="5">
        <v>45398</v>
      </c>
    </row>
    <row r="473" spans="1:1" ht="15.75" customHeight="1" x14ac:dyDescent="0.3">
      <c r="A473" s="5">
        <v>45399</v>
      </c>
    </row>
    <row r="474" spans="1:1" ht="15.75" customHeight="1" x14ac:dyDescent="0.3">
      <c r="A474" s="5">
        <v>45400</v>
      </c>
    </row>
    <row r="475" spans="1:1" ht="15.75" customHeight="1" x14ac:dyDescent="0.3">
      <c r="A475" s="5">
        <v>45401</v>
      </c>
    </row>
    <row r="476" spans="1:1" ht="15.75" customHeight="1" x14ac:dyDescent="0.3">
      <c r="A476" s="5">
        <v>45402</v>
      </c>
    </row>
    <row r="477" spans="1:1" ht="15.75" customHeight="1" x14ac:dyDescent="0.3">
      <c r="A477" s="5">
        <v>45403</v>
      </c>
    </row>
    <row r="478" spans="1:1" ht="15.75" customHeight="1" x14ac:dyDescent="0.3">
      <c r="A478" s="5">
        <v>45404</v>
      </c>
    </row>
    <row r="479" spans="1:1" ht="15.75" customHeight="1" x14ac:dyDescent="0.3">
      <c r="A479" s="5">
        <v>45405</v>
      </c>
    </row>
    <row r="480" spans="1:1" ht="15.75" customHeight="1" x14ac:dyDescent="0.3">
      <c r="A480" s="5">
        <v>45406</v>
      </c>
    </row>
    <row r="481" spans="1:1" ht="15.75" customHeight="1" x14ac:dyDescent="0.3">
      <c r="A481" s="5">
        <v>45407</v>
      </c>
    </row>
    <row r="482" spans="1:1" ht="15.75" customHeight="1" x14ac:dyDescent="0.3">
      <c r="A482" s="5">
        <v>45408</v>
      </c>
    </row>
    <row r="483" spans="1:1" ht="15.75" customHeight="1" x14ac:dyDescent="0.3">
      <c r="A483" s="5">
        <v>45409</v>
      </c>
    </row>
    <row r="484" spans="1:1" ht="15.75" customHeight="1" x14ac:dyDescent="0.3">
      <c r="A484" s="5">
        <v>45410</v>
      </c>
    </row>
    <row r="485" spans="1:1" ht="15.75" customHeight="1" x14ac:dyDescent="0.3">
      <c r="A485" s="5">
        <v>45411</v>
      </c>
    </row>
    <row r="486" spans="1:1" ht="15.75" customHeight="1" x14ac:dyDescent="0.3">
      <c r="A486" s="5">
        <v>45412</v>
      </c>
    </row>
    <row r="487" spans="1:1" ht="15.75" customHeight="1" x14ac:dyDescent="0.3">
      <c r="A487" s="5">
        <v>45413</v>
      </c>
    </row>
    <row r="488" spans="1:1" ht="15.75" customHeight="1" x14ac:dyDescent="0.3">
      <c r="A488" s="5">
        <v>45414</v>
      </c>
    </row>
    <row r="489" spans="1:1" ht="15.75" customHeight="1" x14ac:dyDescent="0.3">
      <c r="A489" s="5">
        <v>45415</v>
      </c>
    </row>
    <row r="490" spans="1:1" ht="15.75" customHeight="1" x14ac:dyDescent="0.3">
      <c r="A490" s="5">
        <v>45416</v>
      </c>
    </row>
    <row r="491" spans="1:1" ht="15.75" customHeight="1" x14ac:dyDescent="0.3">
      <c r="A491" s="5">
        <v>45417</v>
      </c>
    </row>
    <row r="492" spans="1:1" ht="15.75" customHeight="1" x14ac:dyDescent="0.3">
      <c r="A492" s="5">
        <v>45418</v>
      </c>
    </row>
    <row r="493" spans="1:1" ht="15.75" customHeight="1" x14ac:dyDescent="0.3">
      <c r="A493" s="5">
        <v>45419</v>
      </c>
    </row>
    <row r="494" spans="1:1" ht="15.75" customHeight="1" x14ac:dyDescent="0.3">
      <c r="A494" s="5">
        <v>45420</v>
      </c>
    </row>
    <row r="495" spans="1:1" ht="15.75" customHeight="1" x14ac:dyDescent="0.3">
      <c r="A495" s="5">
        <v>45421</v>
      </c>
    </row>
    <row r="496" spans="1:1" ht="15.75" customHeight="1" x14ac:dyDescent="0.3">
      <c r="A496" s="5">
        <v>45422</v>
      </c>
    </row>
    <row r="497" spans="1:1" ht="15.75" customHeight="1" x14ac:dyDescent="0.3">
      <c r="A497" s="5">
        <v>45423</v>
      </c>
    </row>
    <row r="498" spans="1:1" ht="15.75" customHeight="1" x14ac:dyDescent="0.3">
      <c r="A498" s="5">
        <v>45424</v>
      </c>
    </row>
    <row r="499" spans="1:1" ht="15.75" customHeight="1" x14ac:dyDescent="0.3">
      <c r="A499" s="5">
        <v>45425</v>
      </c>
    </row>
    <row r="500" spans="1:1" ht="15.75" customHeight="1" x14ac:dyDescent="0.3">
      <c r="A500" s="5">
        <v>45426</v>
      </c>
    </row>
    <row r="501" spans="1:1" ht="15.75" customHeight="1" x14ac:dyDescent="0.3">
      <c r="A501" s="5">
        <v>45427</v>
      </c>
    </row>
    <row r="502" spans="1:1" ht="15.75" customHeight="1" x14ac:dyDescent="0.3">
      <c r="A502" s="5">
        <v>45428</v>
      </c>
    </row>
    <row r="503" spans="1:1" ht="15.75" customHeight="1" x14ac:dyDescent="0.3">
      <c r="A503" s="5">
        <v>45429</v>
      </c>
    </row>
    <row r="504" spans="1:1" ht="15.75" customHeight="1" x14ac:dyDescent="0.3">
      <c r="A504" s="5">
        <v>45430</v>
      </c>
    </row>
    <row r="505" spans="1:1" ht="15.75" customHeight="1" x14ac:dyDescent="0.3">
      <c r="A505" s="5">
        <v>45431</v>
      </c>
    </row>
    <row r="506" spans="1:1" ht="15.75" customHeight="1" x14ac:dyDescent="0.3">
      <c r="A506" s="5">
        <v>45432</v>
      </c>
    </row>
    <row r="507" spans="1:1" ht="15.75" customHeight="1" x14ac:dyDescent="0.3">
      <c r="A507" s="5">
        <v>45433</v>
      </c>
    </row>
    <row r="508" spans="1:1" ht="15.75" customHeight="1" x14ac:dyDescent="0.3">
      <c r="A508" s="5">
        <v>45434</v>
      </c>
    </row>
    <row r="509" spans="1:1" ht="15.75" customHeight="1" x14ac:dyDescent="0.3">
      <c r="A509" s="5">
        <v>45435</v>
      </c>
    </row>
    <row r="510" spans="1:1" ht="15.75" customHeight="1" x14ac:dyDescent="0.3">
      <c r="A510" s="5">
        <v>45436</v>
      </c>
    </row>
    <row r="511" spans="1:1" ht="15.75" customHeight="1" x14ac:dyDescent="0.3">
      <c r="A511" s="5">
        <v>45437</v>
      </c>
    </row>
    <row r="512" spans="1:1" ht="15.75" customHeight="1" x14ac:dyDescent="0.3">
      <c r="A512" s="5">
        <v>45438</v>
      </c>
    </row>
    <row r="513" spans="1:1" ht="15.75" customHeight="1" x14ac:dyDescent="0.3">
      <c r="A513" s="5">
        <v>45439</v>
      </c>
    </row>
    <row r="514" spans="1:1" ht="15.75" customHeight="1" x14ac:dyDescent="0.3">
      <c r="A514" s="5">
        <v>45440</v>
      </c>
    </row>
    <row r="515" spans="1:1" ht="15.75" customHeight="1" x14ac:dyDescent="0.3">
      <c r="A515" s="5">
        <v>45441</v>
      </c>
    </row>
    <row r="516" spans="1:1" ht="15.75" customHeight="1" x14ac:dyDescent="0.3">
      <c r="A516" s="5">
        <v>45442</v>
      </c>
    </row>
    <row r="517" spans="1:1" ht="15.75" customHeight="1" x14ac:dyDescent="0.3">
      <c r="A517" s="5">
        <v>45443</v>
      </c>
    </row>
    <row r="518" spans="1:1" ht="15.75" customHeight="1" x14ac:dyDescent="0.3">
      <c r="A518" s="5">
        <v>45444</v>
      </c>
    </row>
    <row r="519" spans="1:1" ht="15.75" customHeight="1" x14ac:dyDescent="0.3">
      <c r="A519" s="5">
        <v>45445</v>
      </c>
    </row>
    <row r="520" spans="1:1" ht="15.75" customHeight="1" x14ac:dyDescent="0.3">
      <c r="A520" s="5">
        <v>45446</v>
      </c>
    </row>
    <row r="521" spans="1:1" ht="15.75" customHeight="1" x14ac:dyDescent="0.3">
      <c r="A521" s="5">
        <v>45447</v>
      </c>
    </row>
    <row r="522" spans="1:1" ht="15.75" customHeight="1" x14ac:dyDescent="0.3">
      <c r="A522" s="5">
        <v>45448</v>
      </c>
    </row>
    <row r="523" spans="1:1" ht="15.75" customHeight="1" x14ac:dyDescent="0.3">
      <c r="A523" s="5">
        <v>45449</v>
      </c>
    </row>
    <row r="524" spans="1:1" ht="15.75" customHeight="1" x14ac:dyDescent="0.3">
      <c r="A524" s="5">
        <v>45450</v>
      </c>
    </row>
    <row r="525" spans="1:1" ht="15.75" customHeight="1" x14ac:dyDescent="0.3">
      <c r="A525" s="5">
        <v>45451</v>
      </c>
    </row>
    <row r="526" spans="1:1" ht="15.75" customHeight="1" x14ac:dyDescent="0.3">
      <c r="A526" s="5">
        <v>45452</v>
      </c>
    </row>
    <row r="527" spans="1:1" ht="15.75" customHeight="1" x14ac:dyDescent="0.3">
      <c r="A527" s="5">
        <v>45453</v>
      </c>
    </row>
    <row r="528" spans="1:1" ht="15.75" customHeight="1" x14ac:dyDescent="0.3">
      <c r="A528" s="5">
        <v>45454</v>
      </c>
    </row>
    <row r="529" spans="1:1" ht="15.75" customHeight="1" x14ac:dyDescent="0.3">
      <c r="A529" s="5">
        <v>45455</v>
      </c>
    </row>
    <row r="530" spans="1:1" ht="15.75" customHeight="1" x14ac:dyDescent="0.3">
      <c r="A530" s="5">
        <v>45456</v>
      </c>
    </row>
    <row r="531" spans="1:1" ht="15.75" customHeight="1" x14ac:dyDescent="0.3">
      <c r="A531" s="5">
        <v>45457</v>
      </c>
    </row>
    <row r="532" spans="1:1" ht="15.75" customHeight="1" x14ac:dyDescent="0.3">
      <c r="A532" s="5">
        <v>45458</v>
      </c>
    </row>
    <row r="533" spans="1:1" ht="15.75" customHeight="1" x14ac:dyDescent="0.3">
      <c r="A533" s="5">
        <v>45459</v>
      </c>
    </row>
    <row r="534" spans="1:1" ht="15.75" customHeight="1" x14ac:dyDescent="0.3">
      <c r="A534" s="5">
        <v>45460</v>
      </c>
    </row>
    <row r="535" spans="1:1" ht="15.75" customHeight="1" x14ac:dyDescent="0.3">
      <c r="A535" s="5">
        <v>45461</v>
      </c>
    </row>
    <row r="536" spans="1:1" ht="15.75" customHeight="1" x14ac:dyDescent="0.3">
      <c r="A536" s="5">
        <v>45462</v>
      </c>
    </row>
    <row r="537" spans="1:1" ht="15.75" customHeight="1" x14ac:dyDescent="0.3">
      <c r="A537" s="5">
        <v>45463</v>
      </c>
    </row>
    <row r="538" spans="1:1" ht="15.75" customHeight="1" x14ac:dyDescent="0.3">
      <c r="A538" s="5">
        <v>45464</v>
      </c>
    </row>
    <row r="539" spans="1:1" ht="15.75" customHeight="1" x14ac:dyDescent="0.3">
      <c r="A539" s="5">
        <v>45465</v>
      </c>
    </row>
    <row r="540" spans="1:1" ht="15.75" customHeight="1" x14ac:dyDescent="0.3">
      <c r="A540" s="5">
        <v>45466</v>
      </c>
    </row>
    <row r="541" spans="1:1" ht="15.75" customHeight="1" x14ac:dyDescent="0.3">
      <c r="A541" s="5">
        <v>45467</v>
      </c>
    </row>
    <row r="542" spans="1:1" ht="15.75" customHeight="1" x14ac:dyDescent="0.3">
      <c r="A542" s="5">
        <v>45468</v>
      </c>
    </row>
    <row r="543" spans="1:1" ht="15.75" customHeight="1" x14ac:dyDescent="0.3">
      <c r="A543" s="5">
        <v>45469</v>
      </c>
    </row>
    <row r="544" spans="1:1" ht="15.75" customHeight="1" x14ac:dyDescent="0.3">
      <c r="A544" s="5">
        <v>45470</v>
      </c>
    </row>
    <row r="545" spans="1:1" ht="15.75" customHeight="1" x14ac:dyDescent="0.3">
      <c r="A545" s="5">
        <v>45471</v>
      </c>
    </row>
    <row r="546" spans="1:1" ht="15.75" customHeight="1" x14ac:dyDescent="0.3">
      <c r="A546" s="5">
        <v>45472</v>
      </c>
    </row>
    <row r="547" spans="1:1" ht="15.75" customHeight="1" x14ac:dyDescent="0.3">
      <c r="A547" s="5">
        <v>45473</v>
      </c>
    </row>
    <row r="548" spans="1:1" ht="15.75" customHeight="1" x14ac:dyDescent="0.3">
      <c r="A548" s="5">
        <v>45474</v>
      </c>
    </row>
    <row r="549" spans="1:1" ht="15.75" customHeight="1" x14ac:dyDescent="0.3">
      <c r="A549" s="5">
        <v>45475</v>
      </c>
    </row>
    <row r="550" spans="1:1" ht="15.75" customHeight="1" x14ac:dyDescent="0.3">
      <c r="A550" s="5">
        <v>45476</v>
      </c>
    </row>
    <row r="551" spans="1:1" ht="15.75" customHeight="1" x14ac:dyDescent="0.3">
      <c r="A551" s="5">
        <v>45477</v>
      </c>
    </row>
    <row r="552" spans="1:1" ht="15.75" customHeight="1" x14ac:dyDescent="0.3">
      <c r="A552" s="5">
        <v>45478</v>
      </c>
    </row>
    <row r="553" spans="1:1" ht="15.75" customHeight="1" x14ac:dyDescent="0.3">
      <c r="A553" s="5">
        <v>45479</v>
      </c>
    </row>
    <row r="554" spans="1:1" ht="15.75" customHeight="1" x14ac:dyDescent="0.3">
      <c r="A554" s="5">
        <v>45480</v>
      </c>
    </row>
    <row r="555" spans="1:1" ht="15.75" customHeight="1" x14ac:dyDescent="0.3"/>
    <row r="556" spans="1:1" ht="15.75" customHeight="1" x14ac:dyDescent="0.3"/>
    <row r="557" spans="1:1" ht="15.75" customHeight="1" x14ac:dyDescent="0.3"/>
    <row r="558" spans="1:1" ht="15.75" customHeight="1" x14ac:dyDescent="0.3"/>
    <row r="559" spans="1:1" ht="15.75" customHeight="1" x14ac:dyDescent="0.3"/>
    <row r="560" spans="1:1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6B26B"/>
  </sheetPr>
  <dimension ref="A1:AV1000"/>
  <sheetViews>
    <sheetView workbookViewId="0">
      <selection activeCell="C10" sqref="C10"/>
    </sheetView>
  </sheetViews>
  <sheetFormatPr defaultColWidth="14.44140625" defaultRowHeight="15" customHeight="1" x14ac:dyDescent="0.3"/>
  <cols>
    <col min="1" max="1" width="53.44140625" customWidth="1"/>
    <col min="2" max="3" width="9.109375" customWidth="1"/>
    <col min="4" max="4" width="13" customWidth="1"/>
    <col min="5" max="6" width="9.109375" customWidth="1"/>
    <col min="7" max="7" width="13" customWidth="1"/>
    <col min="8" max="9" width="8.6640625" customWidth="1"/>
    <col min="10" max="10" width="13" customWidth="1"/>
    <col min="11" max="12" width="8.6640625" customWidth="1"/>
    <col min="13" max="13" width="13" customWidth="1"/>
    <col min="14" max="15" width="8.6640625" customWidth="1"/>
    <col min="16" max="16" width="13" customWidth="1"/>
    <col min="17" max="18" width="8.6640625" customWidth="1"/>
    <col min="19" max="19" width="13" customWidth="1"/>
    <col min="20" max="21" width="8.6640625" customWidth="1"/>
    <col min="22" max="22" width="13" customWidth="1"/>
    <col min="23" max="24" width="8.6640625" customWidth="1"/>
    <col min="25" max="25" width="13" customWidth="1"/>
    <col min="26" max="27" width="8.6640625" customWidth="1"/>
    <col min="28" max="28" width="13" customWidth="1"/>
    <col min="29" max="30" width="8.6640625" customWidth="1"/>
    <col min="31" max="31" width="13" customWidth="1"/>
    <col min="32" max="33" width="8.6640625" customWidth="1"/>
    <col min="34" max="34" width="13" customWidth="1"/>
    <col min="35" max="36" width="8.6640625" customWidth="1"/>
    <col min="37" max="37" width="13" customWidth="1"/>
    <col min="38" max="38" width="2.109375" customWidth="1"/>
    <col min="39" max="48" width="8.6640625" customWidth="1"/>
  </cols>
  <sheetData>
    <row r="1" spans="1:48" ht="14.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40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6.25" customHeight="1" x14ac:dyDescent="0.3">
      <c r="A2" s="79" t="s">
        <v>32</v>
      </c>
      <c r="B2" s="59"/>
      <c r="C2" s="59"/>
      <c r="D2" s="59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2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ht="26.25" customHeight="1" x14ac:dyDescent="0.3">
      <c r="A3" s="59"/>
      <c r="B3" s="59"/>
      <c r="C3" s="59"/>
      <c r="D3" s="59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2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48" ht="15" customHeight="1" x14ac:dyDescent="0.3">
      <c r="A4" s="71" t="s">
        <v>33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0"/>
      <c r="AM4" s="39"/>
      <c r="AN4" s="39"/>
      <c r="AO4" s="39"/>
      <c r="AP4" s="39"/>
      <c r="AQ4" s="39"/>
      <c r="AR4" s="39"/>
      <c r="AS4" s="39"/>
      <c r="AT4" s="39"/>
      <c r="AU4" s="39"/>
      <c r="AV4" s="39"/>
    </row>
    <row r="5" spans="1:48" ht="15" customHeight="1" x14ac:dyDescent="0.3">
      <c r="A5" s="72"/>
      <c r="B5" s="73" t="s">
        <v>34</v>
      </c>
      <c r="C5" s="74"/>
      <c r="D5" s="75"/>
      <c r="E5" s="73" t="s">
        <v>35</v>
      </c>
      <c r="F5" s="74"/>
      <c r="G5" s="75"/>
      <c r="H5" s="73" t="s">
        <v>36</v>
      </c>
      <c r="I5" s="74"/>
      <c r="J5" s="75"/>
      <c r="K5" s="73" t="s">
        <v>37</v>
      </c>
      <c r="L5" s="74"/>
      <c r="M5" s="75"/>
      <c r="N5" s="73" t="s">
        <v>38</v>
      </c>
      <c r="O5" s="74"/>
      <c r="P5" s="75"/>
      <c r="Q5" s="73" t="s">
        <v>39</v>
      </c>
      <c r="R5" s="74"/>
      <c r="S5" s="75"/>
      <c r="T5" s="73" t="s">
        <v>40</v>
      </c>
      <c r="U5" s="74"/>
      <c r="V5" s="75"/>
      <c r="W5" s="73" t="s">
        <v>41</v>
      </c>
      <c r="X5" s="74"/>
      <c r="Y5" s="75"/>
      <c r="Z5" s="73" t="s">
        <v>42</v>
      </c>
      <c r="AA5" s="74"/>
      <c r="AB5" s="75"/>
      <c r="AC5" s="73" t="s">
        <v>43</v>
      </c>
      <c r="AD5" s="74"/>
      <c r="AE5" s="75"/>
      <c r="AF5" s="73" t="s">
        <v>44</v>
      </c>
      <c r="AG5" s="74"/>
      <c r="AH5" s="75"/>
      <c r="AI5" s="73" t="s">
        <v>45</v>
      </c>
      <c r="AJ5" s="74"/>
      <c r="AK5" s="75"/>
      <c r="AL5" s="42"/>
      <c r="AM5" s="43"/>
      <c r="AN5" s="43"/>
      <c r="AO5" s="43"/>
      <c r="AP5" s="43"/>
      <c r="AQ5" s="43"/>
      <c r="AR5" s="43"/>
      <c r="AS5" s="43"/>
      <c r="AT5" s="43"/>
      <c r="AU5" s="43"/>
      <c r="AV5" s="43"/>
    </row>
    <row r="6" spans="1:48" ht="18.75" customHeight="1" x14ac:dyDescent="0.3">
      <c r="A6" s="72"/>
      <c r="B6" s="76"/>
      <c r="C6" s="77"/>
      <c r="D6" s="78"/>
      <c r="E6" s="76"/>
      <c r="F6" s="77"/>
      <c r="G6" s="78"/>
      <c r="H6" s="76"/>
      <c r="I6" s="77"/>
      <c r="J6" s="78"/>
      <c r="K6" s="76"/>
      <c r="L6" s="77"/>
      <c r="M6" s="78"/>
      <c r="N6" s="76"/>
      <c r="O6" s="77"/>
      <c r="P6" s="78"/>
      <c r="Q6" s="76"/>
      <c r="R6" s="77"/>
      <c r="S6" s="78"/>
      <c r="T6" s="76"/>
      <c r="U6" s="77"/>
      <c r="V6" s="78"/>
      <c r="W6" s="76"/>
      <c r="X6" s="77"/>
      <c r="Y6" s="78"/>
      <c r="Z6" s="76"/>
      <c r="AA6" s="77"/>
      <c r="AB6" s="78"/>
      <c r="AC6" s="76"/>
      <c r="AD6" s="77"/>
      <c r="AE6" s="78"/>
      <c r="AF6" s="76"/>
      <c r="AG6" s="77"/>
      <c r="AH6" s="78"/>
      <c r="AI6" s="76"/>
      <c r="AJ6" s="77"/>
      <c r="AK6" s="78"/>
      <c r="AL6" s="42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spans="1:48" ht="29.25" customHeight="1" x14ac:dyDescent="0.3">
      <c r="A7" s="72"/>
      <c r="B7" s="45" t="s">
        <v>46</v>
      </c>
      <c r="C7" s="45" t="s">
        <v>47</v>
      </c>
      <c r="D7" s="45" t="s">
        <v>48</v>
      </c>
      <c r="E7" s="45" t="s">
        <v>46</v>
      </c>
      <c r="F7" s="45" t="s">
        <v>47</v>
      </c>
      <c r="G7" s="45" t="s">
        <v>48</v>
      </c>
      <c r="H7" s="45" t="s">
        <v>46</v>
      </c>
      <c r="I7" s="45" t="s">
        <v>47</v>
      </c>
      <c r="J7" s="45" t="s">
        <v>48</v>
      </c>
      <c r="K7" s="45" t="s">
        <v>46</v>
      </c>
      <c r="L7" s="45" t="s">
        <v>47</v>
      </c>
      <c r="M7" s="45" t="s">
        <v>48</v>
      </c>
      <c r="N7" s="45" t="s">
        <v>46</v>
      </c>
      <c r="O7" s="45" t="s">
        <v>47</v>
      </c>
      <c r="P7" s="45" t="s">
        <v>48</v>
      </c>
      <c r="Q7" s="45" t="s">
        <v>46</v>
      </c>
      <c r="R7" s="45" t="s">
        <v>47</v>
      </c>
      <c r="S7" s="45" t="s">
        <v>48</v>
      </c>
      <c r="T7" s="45" t="s">
        <v>46</v>
      </c>
      <c r="U7" s="45" t="s">
        <v>47</v>
      </c>
      <c r="V7" s="45" t="s">
        <v>48</v>
      </c>
      <c r="W7" s="45" t="s">
        <v>46</v>
      </c>
      <c r="X7" s="45" t="s">
        <v>47</v>
      </c>
      <c r="Y7" s="45" t="s">
        <v>48</v>
      </c>
      <c r="Z7" s="45" t="s">
        <v>46</v>
      </c>
      <c r="AA7" s="45" t="s">
        <v>47</v>
      </c>
      <c r="AB7" s="45" t="s">
        <v>48</v>
      </c>
      <c r="AC7" s="45" t="s">
        <v>46</v>
      </c>
      <c r="AD7" s="45" t="s">
        <v>47</v>
      </c>
      <c r="AE7" s="45" t="s">
        <v>48</v>
      </c>
      <c r="AF7" s="45" t="s">
        <v>46</v>
      </c>
      <c r="AG7" s="45" t="s">
        <v>47</v>
      </c>
      <c r="AH7" s="45" t="s">
        <v>48</v>
      </c>
      <c r="AI7" s="45" t="s">
        <v>46</v>
      </c>
      <c r="AJ7" s="45" t="s">
        <v>47</v>
      </c>
      <c r="AK7" s="45" t="s">
        <v>48</v>
      </c>
      <c r="AL7" s="42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spans="1:48" ht="26.25" customHeight="1" x14ac:dyDescent="0.3">
      <c r="A8" s="70" t="s">
        <v>49</v>
      </c>
      <c r="B8" s="46">
        <v>1</v>
      </c>
      <c r="C8" s="41"/>
      <c r="D8" s="41"/>
      <c r="E8" s="47">
        <v>1</v>
      </c>
      <c r="F8" s="41"/>
      <c r="G8" s="41"/>
      <c r="H8" s="47">
        <v>1</v>
      </c>
      <c r="I8" s="41"/>
      <c r="J8" s="41"/>
      <c r="K8" s="47">
        <v>1</v>
      </c>
      <c r="L8" s="41"/>
      <c r="M8" s="41"/>
      <c r="N8" s="47">
        <v>1</v>
      </c>
      <c r="O8" s="41"/>
      <c r="P8" s="41"/>
      <c r="Q8" s="47">
        <v>1</v>
      </c>
      <c r="R8" s="41"/>
      <c r="S8" s="41"/>
      <c r="T8" s="47">
        <v>1</v>
      </c>
      <c r="U8" s="41"/>
      <c r="V8" s="41"/>
      <c r="W8" s="47">
        <v>1</v>
      </c>
      <c r="X8" s="41"/>
      <c r="Y8" s="41"/>
      <c r="Z8" s="47">
        <v>1</v>
      </c>
      <c r="AA8" s="41"/>
      <c r="AB8" s="41"/>
      <c r="AC8" s="47">
        <v>1</v>
      </c>
      <c r="AD8" s="41"/>
      <c r="AE8" s="41"/>
      <c r="AF8" s="47">
        <v>1</v>
      </c>
      <c r="AG8" s="41"/>
      <c r="AH8" s="41"/>
      <c r="AI8" s="47">
        <v>1</v>
      </c>
      <c r="AJ8" s="41"/>
      <c r="AK8" s="41"/>
      <c r="AL8" s="42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spans="1:48" ht="26.25" customHeight="1" x14ac:dyDescent="0.3">
      <c r="A9" s="59"/>
      <c r="B9" s="47">
        <v>2</v>
      </c>
      <c r="C9" s="41"/>
      <c r="D9" s="41"/>
      <c r="E9" s="47">
        <v>2</v>
      </c>
      <c r="F9" s="41"/>
      <c r="G9" s="41"/>
      <c r="H9" s="47">
        <v>2</v>
      </c>
      <c r="I9" s="41"/>
      <c r="J9" s="41"/>
      <c r="K9" s="47">
        <v>2</v>
      </c>
      <c r="L9" s="41"/>
      <c r="M9" s="41"/>
      <c r="N9" s="47">
        <v>2</v>
      </c>
      <c r="O9" s="41"/>
      <c r="P9" s="41"/>
      <c r="Q9" s="47">
        <v>2</v>
      </c>
      <c r="R9" s="41"/>
      <c r="S9" s="41"/>
      <c r="T9" s="47">
        <v>2</v>
      </c>
      <c r="U9" s="41"/>
      <c r="V9" s="41"/>
      <c r="W9" s="47">
        <v>2</v>
      </c>
      <c r="X9" s="41"/>
      <c r="Y9" s="41"/>
      <c r="Z9" s="47">
        <v>2</v>
      </c>
      <c r="AA9" s="41"/>
      <c r="AB9" s="41"/>
      <c r="AC9" s="47">
        <v>2</v>
      </c>
      <c r="AD9" s="41"/>
      <c r="AE9" s="41"/>
      <c r="AF9" s="47">
        <v>2</v>
      </c>
      <c r="AG9" s="41"/>
      <c r="AH9" s="41"/>
      <c r="AI9" s="47">
        <v>2</v>
      </c>
      <c r="AJ9" s="41"/>
      <c r="AK9" s="41"/>
      <c r="AL9" s="42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spans="1:48" ht="26.25" customHeight="1" x14ac:dyDescent="0.3">
      <c r="A10" s="59"/>
      <c r="B10" s="47">
        <v>3</v>
      </c>
      <c r="C10" s="41"/>
      <c r="D10" s="41"/>
      <c r="E10" s="47">
        <v>3</v>
      </c>
      <c r="F10" s="41"/>
      <c r="G10" s="41"/>
      <c r="H10" s="47">
        <v>3</v>
      </c>
      <c r="I10" s="41"/>
      <c r="J10" s="41"/>
      <c r="K10" s="47">
        <v>3</v>
      </c>
      <c r="L10" s="41"/>
      <c r="M10" s="41"/>
      <c r="N10" s="47">
        <v>3</v>
      </c>
      <c r="O10" s="41"/>
      <c r="P10" s="41"/>
      <c r="Q10" s="47">
        <v>3</v>
      </c>
      <c r="R10" s="41"/>
      <c r="S10" s="41"/>
      <c r="T10" s="47">
        <v>3</v>
      </c>
      <c r="U10" s="41"/>
      <c r="V10" s="41"/>
      <c r="W10" s="47">
        <v>3</v>
      </c>
      <c r="X10" s="41"/>
      <c r="Y10" s="41"/>
      <c r="Z10" s="47">
        <v>3</v>
      </c>
      <c r="AA10" s="41"/>
      <c r="AB10" s="41"/>
      <c r="AC10" s="47">
        <v>3</v>
      </c>
      <c r="AD10" s="41"/>
      <c r="AE10" s="41"/>
      <c r="AF10" s="47">
        <v>3</v>
      </c>
      <c r="AG10" s="41"/>
      <c r="AH10" s="41"/>
      <c r="AI10" s="47">
        <v>3</v>
      </c>
      <c r="AJ10" s="41"/>
      <c r="AK10" s="41"/>
      <c r="AL10" s="42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spans="1:48" ht="11.25" customHeight="1" x14ac:dyDescent="0.3">
      <c r="A11" s="48"/>
      <c r="B11" s="47"/>
      <c r="C11" s="49"/>
      <c r="D11" s="49"/>
      <c r="E11" s="47"/>
      <c r="F11" s="49"/>
      <c r="G11" s="49"/>
      <c r="H11" s="47"/>
      <c r="I11" s="49"/>
      <c r="J11" s="49"/>
      <c r="K11" s="47"/>
      <c r="L11" s="49"/>
      <c r="M11" s="49"/>
      <c r="N11" s="47"/>
      <c r="O11" s="49"/>
      <c r="P11" s="49"/>
      <c r="Q11" s="47"/>
      <c r="R11" s="49"/>
      <c r="S11" s="49"/>
      <c r="T11" s="47"/>
      <c r="U11" s="49"/>
      <c r="V11" s="49"/>
      <c r="W11" s="47"/>
      <c r="X11" s="49"/>
      <c r="Y11" s="49"/>
      <c r="Z11" s="47"/>
      <c r="AA11" s="49"/>
      <c r="AB11" s="49"/>
      <c r="AC11" s="47"/>
      <c r="AD11" s="49"/>
      <c r="AE11" s="49"/>
      <c r="AF11" s="47"/>
      <c r="AG11" s="49"/>
      <c r="AH11" s="49"/>
      <c r="AI11" s="47"/>
      <c r="AJ11" s="49"/>
      <c r="AK11" s="49"/>
      <c r="AL11" s="42"/>
      <c r="AM11" s="43"/>
      <c r="AN11" s="43"/>
      <c r="AO11" s="43"/>
      <c r="AP11" s="43"/>
      <c r="AQ11" s="43"/>
      <c r="AR11" s="43"/>
      <c r="AS11" s="43"/>
      <c r="AT11" s="43"/>
      <c r="AU11" s="43"/>
      <c r="AV11" s="43"/>
    </row>
    <row r="12" spans="1:48" ht="26.25" customHeight="1" x14ac:dyDescent="0.3">
      <c r="A12" s="70" t="s">
        <v>50</v>
      </c>
      <c r="B12" s="47">
        <v>1</v>
      </c>
      <c r="C12" s="41"/>
      <c r="D12" s="41"/>
      <c r="E12" s="47">
        <v>1</v>
      </c>
      <c r="F12" s="41"/>
      <c r="G12" s="41"/>
      <c r="H12" s="47">
        <v>1</v>
      </c>
      <c r="I12" s="41"/>
      <c r="J12" s="41"/>
      <c r="K12" s="47">
        <v>1</v>
      </c>
      <c r="L12" s="41"/>
      <c r="M12" s="41"/>
      <c r="N12" s="47">
        <v>1</v>
      </c>
      <c r="O12" s="41"/>
      <c r="P12" s="41"/>
      <c r="Q12" s="47">
        <v>1</v>
      </c>
      <c r="R12" s="41"/>
      <c r="S12" s="41"/>
      <c r="T12" s="47">
        <v>1</v>
      </c>
      <c r="U12" s="41"/>
      <c r="V12" s="41"/>
      <c r="W12" s="47">
        <v>1</v>
      </c>
      <c r="X12" s="41"/>
      <c r="Y12" s="41"/>
      <c r="Z12" s="47">
        <v>1</v>
      </c>
      <c r="AA12" s="41"/>
      <c r="AB12" s="41"/>
      <c r="AC12" s="47">
        <v>1</v>
      </c>
      <c r="AD12" s="41"/>
      <c r="AE12" s="41"/>
      <c r="AF12" s="47">
        <v>1</v>
      </c>
      <c r="AG12" s="41"/>
      <c r="AH12" s="41"/>
      <c r="AI12" s="47">
        <v>1</v>
      </c>
      <c r="AJ12" s="41"/>
      <c r="AK12" s="41"/>
      <c r="AL12" s="42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spans="1:48" ht="26.25" customHeight="1" x14ac:dyDescent="0.3">
      <c r="A13" s="59"/>
      <c r="B13" s="47">
        <v>2</v>
      </c>
      <c r="C13" s="41"/>
      <c r="D13" s="41"/>
      <c r="E13" s="47">
        <v>2</v>
      </c>
      <c r="F13" s="41"/>
      <c r="G13" s="41"/>
      <c r="H13" s="47">
        <v>2</v>
      </c>
      <c r="I13" s="41"/>
      <c r="J13" s="41"/>
      <c r="K13" s="47">
        <v>2</v>
      </c>
      <c r="L13" s="41"/>
      <c r="M13" s="41"/>
      <c r="N13" s="47">
        <v>2</v>
      </c>
      <c r="O13" s="41"/>
      <c r="P13" s="41"/>
      <c r="Q13" s="47">
        <v>2</v>
      </c>
      <c r="R13" s="41"/>
      <c r="S13" s="41"/>
      <c r="T13" s="47">
        <v>2</v>
      </c>
      <c r="U13" s="41"/>
      <c r="V13" s="41"/>
      <c r="W13" s="47">
        <v>2</v>
      </c>
      <c r="X13" s="41"/>
      <c r="Y13" s="41"/>
      <c r="Z13" s="47">
        <v>2</v>
      </c>
      <c r="AA13" s="41"/>
      <c r="AB13" s="41"/>
      <c r="AC13" s="47">
        <v>2</v>
      </c>
      <c r="AD13" s="41"/>
      <c r="AE13" s="41"/>
      <c r="AF13" s="47">
        <v>2</v>
      </c>
      <c r="AG13" s="41"/>
      <c r="AH13" s="41"/>
      <c r="AI13" s="47">
        <v>2</v>
      </c>
      <c r="AJ13" s="41"/>
      <c r="AK13" s="41"/>
      <c r="AL13" s="42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spans="1:48" ht="26.25" customHeight="1" x14ac:dyDescent="0.3">
      <c r="A14" s="59"/>
      <c r="B14" s="47">
        <v>3</v>
      </c>
      <c r="C14" s="41"/>
      <c r="D14" s="41"/>
      <c r="E14" s="47">
        <v>3</v>
      </c>
      <c r="F14" s="41"/>
      <c r="G14" s="41"/>
      <c r="H14" s="47">
        <v>3</v>
      </c>
      <c r="I14" s="41"/>
      <c r="J14" s="41"/>
      <c r="K14" s="47">
        <v>3</v>
      </c>
      <c r="L14" s="41"/>
      <c r="M14" s="41"/>
      <c r="N14" s="47">
        <v>3</v>
      </c>
      <c r="O14" s="41"/>
      <c r="P14" s="41"/>
      <c r="Q14" s="47">
        <v>3</v>
      </c>
      <c r="R14" s="41"/>
      <c r="S14" s="41"/>
      <c r="T14" s="47">
        <v>3</v>
      </c>
      <c r="U14" s="41"/>
      <c r="V14" s="41"/>
      <c r="W14" s="47">
        <v>3</v>
      </c>
      <c r="X14" s="41"/>
      <c r="Y14" s="41"/>
      <c r="Z14" s="47">
        <v>3</v>
      </c>
      <c r="AA14" s="41"/>
      <c r="AB14" s="41"/>
      <c r="AC14" s="47">
        <v>3</v>
      </c>
      <c r="AD14" s="41"/>
      <c r="AE14" s="41"/>
      <c r="AF14" s="47">
        <v>3</v>
      </c>
      <c r="AG14" s="41"/>
      <c r="AH14" s="41"/>
      <c r="AI14" s="47">
        <v>3</v>
      </c>
      <c r="AJ14" s="41"/>
      <c r="AK14" s="41"/>
      <c r="AL14" s="42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spans="1:48" ht="11.25" customHeight="1" x14ac:dyDescent="0.3">
      <c r="A15" s="48"/>
      <c r="B15" s="47"/>
      <c r="C15" s="49"/>
      <c r="D15" s="49"/>
      <c r="E15" s="47"/>
      <c r="F15" s="49"/>
      <c r="G15" s="49"/>
      <c r="H15" s="47"/>
      <c r="I15" s="49"/>
      <c r="J15" s="49"/>
      <c r="K15" s="47"/>
      <c r="L15" s="49"/>
      <c r="M15" s="49"/>
      <c r="N15" s="47"/>
      <c r="O15" s="49"/>
      <c r="P15" s="49"/>
      <c r="Q15" s="47"/>
      <c r="R15" s="49"/>
      <c r="S15" s="49"/>
      <c r="T15" s="47"/>
      <c r="U15" s="49"/>
      <c r="V15" s="49"/>
      <c r="W15" s="47"/>
      <c r="X15" s="49"/>
      <c r="Y15" s="49"/>
      <c r="Z15" s="47"/>
      <c r="AA15" s="49"/>
      <c r="AB15" s="49"/>
      <c r="AC15" s="47"/>
      <c r="AD15" s="49"/>
      <c r="AE15" s="49"/>
      <c r="AF15" s="47"/>
      <c r="AG15" s="49"/>
      <c r="AH15" s="49"/>
      <c r="AI15" s="47"/>
      <c r="AJ15" s="49"/>
      <c r="AK15" s="49"/>
      <c r="AL15" s="42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spans="1:48" ht="26.25" customHeight="1" x14ac:dyDescent="0.3">
      <c r="A16" s="70" t="s">
        <v>51</v>
      </c>
      <c r="B16" s="47">
        <v>1</v>
      </c>
      <c r="C16" s="41"/>
      <c r="D16" s="41"/>
      <c r="E16" s="47">
        <v>1</v>
      </c>
      <c r="F16" s="41"/>
      <c r="G16" s="41"/>
      <c r="H16" s="47">
        <v>1</v>
      </c>
      <c r="I16" s="41"/>
      <c r="J16" s="41"/>
      <c r="K16" s="47">
        <v>1</v>
      </c>
      <c r="L16" s="41"/>
      <c r="M16" s="41"/>
      <c r="N16" s="47">
        <v>1</v>
      </c>
      <c r="O16" s="41"/>
      <c r="P16" s="41"/>
      <c r="Q16" s="47">
        <v>1</v>
      </c>
      <c r="R16" s="41"/>
      <c r="S16" s="41"/>
      <c r="T16" s="47">
        <v>1</v>
      </c>
      <c r="U16" s="41"/>
      <c r="V16" s="41"/>
      <c r="W16" s="47">
        <v>1</v>
      </c>
      <c r="X16" s="41"/>
      <c r="Y16" s="41"/>
      <c r="Z16" s="47">
        <v>1</v>
      </c>
      <c r="AA16" s="41"/>
      <c r="AB16" s="41"/>
      <c r="AC16" s="47">
        <v>1</v>
      </c>
      <c r="AD16" s="41"/>
      <c r="AE16" s="41"/>
      <c r="AF16" s="47">
        <v>1</v>
      </c>
      <c r="AG16" s="41"/>
      <c r="AH16" s="41"/>
      <c r="AI16" s="47">
        <v>1</v>
      </c>
      <c r="AJ16" s="41"/>
      <c r="AK16" s="41"/>
      <c r="AL16" s="42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spans="1:48" ht="26.25" customHeight="1" x14ac:dyDescent="0.3">
      <c r="A17" s="59"/>
      <c r="B17" s="47">
        <v>2</v>
      </c>
      <c r="C17" s="41"/>
      <c r="D17" s="41"/>
      <c r="E17" s="47">
        <v>2</v>
      </c>
      <c r="F17" s="41"/>
      <c r="G17" s="41"/>
      <c r="H17" s="47">
        <v>2</v>
      </c>
      <c r="I17" s="41"/>
      <c r="J17" s="41"/>
      <c r="K17" s="47">
        <v>2</v>
      </c>
      <c r="L17" s="41"/>
      <c r="M17" s="41"/>
      <c r="N17" s="47">
        <v>2</v>
      </c>
      <c r="O17" s="41"/>
      <c r="P17" s="41"/>
      <c r="Q17" s="47">
        <v>2</v>
      </c>
      <c r="R17" s="41"/>
      <c r="S17" s="41"/>
      <c r="T17" s="47">
        <v>2</v>
      </c>
      <c r="U17" s="41"/>
      <c r="V17" s="41"/>
      <c r="W17" s="47">
        <v>2</v>
      </c>
      <c r="X17" s="41"/>
      <c r="Y17" s="41"/>
      <c r="Z17" s="47">
        <v>2</v>
      </c>
      <c r="AA17" s="41"/>
      <c r="AB17" s="41"/>
      <c r="AC17" s="47">
        <v>2</v>
      </c>
      <c r="AD17" s="41"/>
      <c r="AE17" s="41"/>
      <c r="AF17" s="47">
        <v>2</v>
      </c>
      <c r="AG17" s="41"/>
      <c r="AH17" s="41"/>
      <c r="AI17" s="47">
        <v>2</v>
      </c>
      <c r="AJ17" s="41"/>
      <c r="AK17" s="41"/>
      <c r="AL17" s="42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spans="1:48" ht="26.25" customHeight="1" x14ac:dyDescent="0.3">
      <c r="A18" s="59"/>
      <c r="B18" s="47">
        <v>3</v>
      </c>
      <c r="C18" s="41"/>
      <c r="D18" s="41"/>
      <c r="E18" s="47">
        <v>3</v>
      </c>
      <c r="F18" s="41"/>
      <c r="G18" s="41"/>
      <c r="H18" s="47">
        <v>3</v>
      </c>
      <c r="I18" s="41"/>
      <c r="J18" s="41"/>
      <c r="K18" s="47">
        <v>3</v>
      </c>
      <c r="L18" s="41"/>
      <c r="M18" s="41"/>
      <c r="N18" s="47">
        <v>3</v>
      </c>
      <c r="O18" s="41"/>
      <c r="P18" s="41"/>
      <c r="Q18" s="47">
        <v>3</v>
      </c>
      <c r="R18" s="41"/>
      <c r="S18" s="41"/>
      <c r="T18" s="47">
        <v>3</v>
      </c>
      <c r="U18" s="41"/>
      <c r="V18" s="41"/>
      <c r="W18" s="47">
        <v>3</v>
      </c>
      <c r="X18" s="41"/>
      <c r="Y18" s="41"/>
      <c r="Z18" s="47">
        <v>3</v>
      </c>
      <c r="AA18" s="41"/>
      <c r="AB18" s="41"/>
      <c r="AC18" s="47">
        <v>3</v>
      </c>
      <c r="AD18" s="41"/>
      <c r="AE18" s="41"/>
      <c r="AF18" s="47">
        <v>3</v>
      </c>
      <c r="AG18" s="41"/>
      <c r="AH18" s="41"/>
      <c r="AI18" s="47">
        <v>3</v>
      </c>
      <c r="AJ18" s="41"/>
      <c r="AK18" s="41"/>
      <c r="AL18" s="42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spans="1:48" ht="11.25" customHeight="1" x14ac:dyDescent="0.3">
      <c r="A19" s="48"/>
      <c r="B19" s="47"/>
      <c r="C19" s="49"/>
      <c r="D19" s="49"/>
      <c r="E19" s="47"/>
      <c r="F19" s="49"/>
      <c r="G19" s="49"/>
      <c r="H19" s="47"/>
      <c r="I19" s="49"/>
      <c r="J19" s="49"/>
      <c r="K19" s="47"/>
      <c r="L19" s="49"/>
      <c r="M19" s="49"/>
      <c r="N19" s="47"/>
      <c r="O19" s="49"/>
      <c r="P19" s="49"/>
      <c r="Q19" s="47"/>
      <c r="R19" s="49"/>
      <c r="S19" s="49"/>
      <c r="T19" s="47"/>
      <c r="U19" s="49"/>
      <c r="V19" s="49"/>
      <c r="W19" s="47"/>
      <c r="X19" s="49"/>
      <c r="Y19" s="49"/>
      <c r="Z19" s="47"/>
      <c r="AA19" s="49"/>
      <c r="AB19" s="49"/>
      <c r="AC19" s="47"/>
      <c r="AD19" s="49"/>
      <c r="AE19" s="49"/>
      <c r="AF19" s="47"/>
      <c r="AG19" s="49"/>
      <c r="AH19" s="49"/>
      <c r="AI19" s="47"/>
      <c r="AJ19" s="49"/>
      <c r="AK19" s="49"/>
      <c r="AL19" s="42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1:48" ht="26.25" customHeight="1" x14ac:dyDescent="0.3">
      <c r="A20" s="70" t="s">
        <v>52</v>
      </c>
      <c r="B20" s="47">
        <v>1</v>
      </c>
      <c r="C20" s="41"/>
      <c r="D20" s="41"/>
      <c r="E20" s="47">
        <v>1</v>
      </c>
      <c r="F20" s="41"/>
      <c r="G20" s="41"/>
      <c r="H20" s="47">
        <v>1</v>
      </c>
      <c r="I20" s="41"/>
      <c r="J20" s="41"/>
      <c r="K20" s="47">
        <v>1</v>
      </c>
      <c r="L20" s="41"/>
      <c r="M20" s="41"/>
      <c r="N20" s="47">
        <v>1</v>
      </c>
      <c r="O20" s="41"/>
      <c r="P20" s="41"/>
      <c r="Q20" s="47">
        <v>1</v>
      </c>
      <c r="R20" s="41"/>
      <c r="S20" s="41"/>
      <c r="T20" s="47">
        <v>1</v>
      </c>
      <c r="U20" s="41"/>
      <c r="V20" s="41"/>
      <c r="W20" s="47">
        <v>1</v>
      </c>
      <c r="X20" s="41"/>
      <c r="Y20" s="41"/>
      <c r="Z20" s="47">
        <v>1</v>
      </c>
      <c r="AA20" s="41"/>
      <c r="AB20" s="41"/>
      <c r="AC20" s="47">
        <v>1</v>
      </c>
      <c r="AD20" s="41"/>
      <c r="AE20" s="41"/>
      <c r="AF20" s="47">
        <v>1</v>
      </c>
      <c r="AG20" s="41"/>
      <c r="AH20" s="41"/>
      <c r="AI20" s="47">
        <v>1</v>
      </c>
      <c r="AJ20" s="41"/>
      <c r="AK20" s="41"/>
      <c r="AL20" s="42"/>
      <c r="AM20" s="43"/>
      <c r="AN20" s="43"/>
      <c r="AO20" s="43"/>
      <c r="AP20" s="43"/>
      <c r="AQ20" s="43"/>
      <c r="AR20" s="43"/>
      <c r="AS20" s="43"/>
      <c r="AT20" s="43"/>
      <c r="AU20" s="43"/>
      <c r="AV20" s="43"/>
    </row>
    <row r="21" spans="1:48" ht="26.25" customHeight="1" x14ac:dyDescent="0.3">
      <c r="A21" s="59"/>
      <c r="B21" s="47">
        <v>2</v>
      </c>
      <c r="C21" s="41"/>
      <c r="D21" s="41"/>
      <c r="E21" s="47">
        <v>2</v>
      </c>
      <c r="F21" s="41"/>
      <c r="G21" s="41"/>
      <c r="H21" s="47">
        <v>2</v>
      </c>
      <c r="I21" s="41"/>
      <c r="J21" s="41"/>
      <c r="K21" s="47">
        <v>2</v>
      </c>
      <c r="L21" s="41"/>
      <c r="M21" s="41"/>
      <c r="N21" s="47">
        <v>2</v>
      </c>
      <c r="O21" s="41"/>
      <c r="P21" s="41"/>
      <c r="Q21" s="47">
        <v>2</v>
      </c>
      <c r="R21" s="41"/>
      <c r="S21" s="41"/>
      <c r="T21" s="47">
        <v>2</v>
      </c>
      <c r="U21" s="41"/>
      <c r="V21" s="41"/>
      <c r="W21" s="47">
        <v>2</v>
      </c>
      <c r="X21" s="41"/>
      <c r="Y21" s="41"/>
      <c r="Z21" s="47">
        <v>2</v>
      </c>
      <c r="AA21" s="41"/>
      <c r="AB21" s="41"/>
      <c r="AC21" s="47">
        <v>2</v>
      </c>
      <c r="AD21" s="41"/>
      <c r="AE21" s="41"/>
      <c r="AF21" s="47">
        <v>2</v>
      </c>
      <c r="AG21" s="41"/>
      <c r="AH21" s="41"/>
      <c r="AI21" s="47">
        <v>2</v>
      </c>
      <c r="AJ21" s="41"/>
      <c r="AK21" s="41"/>
      <c r="AL21" s="42"/>
      <c r="AM21" s="43"/>
      <c r="AN21" s="43"/>
      <c r="AO21" s="43"/>
      <c r="AP21" s="43"/>
      <c r="AQ21" s="43"/>
      <c r="AR21" s="43"/>
      <c r="AS21" s="43"/>
      <c r="AT21" s="43"/>
      <c r="AU21" s="43"/>
      <c r="AV21" s="43"/>
    </row>
    <row r="22" spans="1:48" ht="26.25" customHeight="1" x14ac:dyDescent="0.3">
      <c r="A22" s="59"/>
      <c r="B22" s="47">
        <v>3</v>
      </c>
      <c r="C22" s="41"/>
      <c r="D22" s="41"/>
      <c r="E22" s="47">
        <v>3</v>
      </c>
      <c r="F22" s="41"/>
      <c r="G22" s="41"/>
      <c r="H22" s="47">
        <v>3</v>
      </c>
      <c r="I22" s="41"/>
      <c r="J22" s="41"/>
      <c r="K22" s="47">
        <v>3</v>
      </c>
      <c r="L22" s="41"/>
      <c r="M22" s="41"/>
      <c r="N22" s="47">
        <v>3</v>
      </c>
      <c r="O22" s="41"/>
      <c r="P22" s="41"/>
      <c r="Q22" s="47">
        <v>3</v>
      </c>
      <c r="R22" s="41"/>
      <c r="S22" s="41"/>
      <c r="T22" s="47">
        <v>3</v>
      </c>
      <c r="U22" s="41"/>
      <c r="V22" s="41"/>
      <c r="W22" s="47">
        <v>3</v>
      </c>
      <c r="X22" s="41"/>
      <c r="Y22" s="41"/>
      <c r="Z22" s="47">
        <v>3</v>
      </c>
      <c r="AA22" s="41"/>
      <c r="AB22" s="41"/>
      <c r="AC22" s="47">
        <v>3</v>
      </c>
      <c r="AD22" s="41"/>
      <c r="AE22" s="41"/>
      <c r="AF22" s="47">
        <v>3</v>
      </c>
      <c r="AG22" s="41"/>
      <c r="AH22" s="41"/>
      <c r="AI22" s="47">
        <v>3</v>
      </c>
      <c r="AJ22" s="41"/>
      <c r="AK22" s="41"/>
      <c r="AL22" s="42"/>
      <c r="AM22" s="43"/>
      <c r="AN22" s="43"/>
      <c r="AO22" s="43"/>
      <c r="AP22" s="43"/>
      <c r="AQ22" s="43"/>
      <c r="AR22" s="43"/>
      <c r="AS22" s="43"/>
      <c r="AT22" s="43"/>
      <c r="AU22" s="43"/>
      <c r="AV22" s="43"/>
    </row>
    <row r="23" spans="1:48" ht="11.25" customHeight="1" x14ac:dyDescent="0.3">
      <c r="A23" s="48"/>
      <c r="B23" s="47"/>
      <c r="C23" s="49"/>
      <c r="D23" s="49"/>
      <c r="E23" s="47"/>
      <c r="F23" s="49"/>
      <c r="G23" s="49"/>
      <c r="H23" s="47"/>
      <c r="I23" s="49"/>
      <c r="J23" s="49"/>
      <c r="K23" s="47"/>
      <c r="L23" s="49"/>
      <c r="M23" s="49"/>
      <c r="N23" s="47"/>
      <c r="O23" s="49"/>
      <c r="P23" s="49"/>
      <c r="Q23" s="47"/>
      <c r="R23" s="49"/>
      <c r="S23" s="49"/>
      <c r="T23" s="47"/>
      <c r="U23" s="49"/>
      <c r="V23" s="49"/>
      <c r="W23" s="47"/>
      <c r="X23" s="49"/>
      <c r="Y23" s="49"/>
      <c r="Z23" s="47"/>
      <c r="AA23" s="49"/>
      <c r="AB23" s="49"/>
      <c r="AC23" s="47"/>
      <c r="AD23" s="49"/>
      <c r="AE23" s="49"/>
      <c r="AF23" s="47"/>
      <c r="AG23" s="49"/>
      <c r="AH23" s="49"/>
      <c r="AI23" s="47"/>
      <c r="AJ23" s="49"/>
      <c r="AK23" s="49"/>
      <c r="AL23" s="42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1:48" ht="26.25" customHeight="1" x14ac:dyDescent="0.3">
      <c r="A24" s="70" t="s">
        <v>53</v>
      </c>
      <c r="B24" s="47">
        <v>1</v>
      </c>
      <c r="C24" s="41"/>
      <c r="D24" s="41"/>
      <c r="E24" s="47">
        <v>1</v>
      </c>
      <c r="F24" s="41"/>
      <c r="G24" s="41"/>
      <c r="H24" s="47">
        <v>1</v>
      </c>
      <c r="I24" s="41"/>
      <c r="J24" s="41"/>
      <c r="K24" s="47">
        <v>1</v>
      </c>
      <c r="L24" s="41"/>
      <c r="M24" s="41"/>
      <c r="N24" s="47">
        <v>1</v>
      </c>
      <c r="O24" s="41"/>
      <c r="P24" s="41"/>
      <c r="Q24" s="47">
        <v>1</v>
      </c>
      <c r="R24" s="41"/>
      <c r="S24" s="41"/>
      <c r="T24" s="47">
        <v>1</v>
      </c>
      <c r="U24" s="41"/>
      <c r="V24" s="41"/>
      <c r="W24" s="47">
        <v>1</v>
      </c>
      <c r="X24" s="41"/>
      <c r="Y24" s="41"/>
      <c r="Z24" s="47">
        <v>1</v>
      </c>
      <c r="AA24" s="41"/>
      <c r="AB24" s="41"/>
      <c r="AC24" s="47">
        <v>1</v>
      </c>
      <c r="AD24" s="41"/>
      <c r="AE24" s="41"/>
      <c r="AF24" s="47">
        <v>1</v>
      </c>
      <c r="AG24" s="41"/>
      <c r="AH24" s="41"/>
      <c r="AI24" s="47">
        <v>1</v>
      </c>
      <c r="AJ24" s="41"/>
      <c r="AK24" s="41"/>
      <c r="AL24" s="42"/>
      <c r="AM24" s="43"/>
      <c r="AN24" s="43"/>
      <c r="AO24" s="43"/>
      <c r="AP24" s="43"/>
      <c r="AQ24" s="43"/>
      <c r="AR24" s="43"/>
      <c r="AS24" s="43"/>
      <c r="AT24" s="43"/>
      <c r="AU24" s="43"/>
      <c r="AV24" s="43"/>
    </row>
    <row r="25" spans="1:48" ht="26.25" customHeight="1" x14ac:dyDescent="0.3">
      <c r="A25" s="59"/>
      <c r="B25" s="47">
        <v>2</v>
      </c>
      <c r="C25" s="41"/>
      <c r="D25" s="41"/>
      <c r="E25" s="47">
        <v>2</v>
      </c>
      <c r="F25" s="41"/>
      <c r="G25" s="41"/>
      <c r="H25" s="47">
        <v>2</v>
      </c>
      <c r="I25" s="41"/>
      <c r="J25" s="41"/>
      <c r="K25" s="47">
        <v>2</v>
      </c>
      <c r="L25" s="41"/>
      <c r="M25" s="41"/>
      <c r="N25" s="47">
        <v>2</v>
      </c>
      <c r="O25" s="41"/>
      <c r="P25" s="41"/>
      <c r="Q25" s="47">
        <v>2</v>
      </c>
      <c r="R25" s="41"/>
      <c r="S25" s="41"/>
      <c r="T25" s="47">
        <v>2</v>
      </c>
      <c r="U25" s="41"/>
      <c r="V25" s="41"/>
      <c r="W25" s="47">
        <v>2</v>
      </c>
      <c r="X25" s="41"/>
      <c r="Y25" s="41"/>
      <c r="Z25" s="47">
        <v>2</v>
      </c>
      <c r="AA25" s="41"/>
      <c r="AB25" s="41"/>
      <c r="AC25" s="47">
        <v>2</v>
      </c>
      <c r="AD25" s="41"/>
      <c r="AE25" s="41"/>
      <c r="AF25" s="47">
        <v>2</v>
      </c>
      <c r="AG25" s="41"/>
      <c r="AH25" s="41"/>
      <c r="AI25" s="47">
        <v>2</v>
      </c>
      <c r="AJ25" s="41"/>
      <c r="AK25" s="41"/>
      <c r="AL25" s="42"/>
      <c r="AM25" s="43"/>
      <c r="AN25" s="43"/>
      <c r="AO25" s="43"/>
      <c r="AP25" s="43"/>
      <c r="AQ25" s="43"/>
      <c r="AR25" s="43"/>
      <c r="AS25" s="43"/>
      <c r="AT25" s="43"/>
      <c r="AU25" s="43"/>
      <c r="AV25" s="43"/>
    </row>
    <row r="26" spans="1:48" ht="26.25" customHeight="1" x14ac:dyDescent="0.3">
      <c r="A26" s="59"/>
      <c r="B26" s="47">
        <v>3</v>
      </c>
      <c r="C26" s="41"/>
      <c r="D26" s="41"/>
      <c r="E26" s="47">
        <v>3</v>
      </c>
      <c r="F26" s="41"/>
      <c r="G26" s="41"/>
      <c r="H26" s="47">
        <v>3</v>
      </c>
      <c r="I26" s="41"/>
      <c r="J26" s="41"/>
      <c r="K26" s="47">
        <v>3</v>
      </c>
      <c r="L26" s="41"/>
      <c r="M26" s="41"/>
      <c r="N26" s="47">
        <v>3</v>
      </c>
      <c r="O26" s="41"/>
      <c r="P26" s="41"/>
      <c r="Q26" s="47">
        <v>3</v>
      </c>
      <c r="R26" s="41"/>
      <c r="S26" s="41"/>
      <c r="T26" s="47">
        <v>3</v>
      </c>
      <c r="U26" s="41"/>
      <c r="V26" s="41"/>
      <c r="W26" s="47">
        <v>3</v>
      </c>
      <c r="X26" s="41"/>
      <c r="Y26" s="41"/>
      <c r="Z26" s="47">
        <v>3</v>
      </c>
      <c r="AA26" s="41"/>
      <c r="AB26" s="41"/>
      <c r="AC26" s="47">
        <v>3</v>
      </c>
      <c r="AD26" s="41"/>
      <c r="AE26" s="41"/>
      <c r="AF26" s="47">
        <v>3</v>
      </c>
      <c r="AG26" s="41"/>
      <c r="AH26" s="41"/>
      <c r="AI26" s="47">
        <v>3</v>
      </c>
      <c r="AJ26" s="41"/>
      <c r="AK26" s="41"/>
      <c r="AL26" s="42"/>
      <c r="AM26" s="43"/>
      <c r="AN26" s="43"/>
      <c r="AO26" s="43"/>
      <c r="AP26" s="43"/>
      <c r="AQ26" s="43"/>
      <c r="AR26" s="43"/>
      <c r="AS26" s="43"/>
      <c r="AT26" s="43"/>
      <c r="AU26" s="43"/>
      <c r="AV26" s="43"/>
    </row>
    <row r="27" spans="1:48" ht="11.25" customHeight="1" x14ac:dyDescent="0.3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2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spans="1:48" ht="9.75" customHeight="1" x14ac:dyDescent="0.3">
      <c r="A28" s="71" t="s">
        <v>54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2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1:48" ht="15" customHeight="1" x14ac:dyDescent="0.3">
      <c r="A29" s="72"/>
      <c r="B29" s="73" t="s">
        <v>34</v>
      </c>
      <c r="C29" s="74"/>
      <c r="D29" s="75"/>
      <c r="E29" s="73" t="s">
        <v>35</v>
      </c>
      <c r="F29" s="74"/>
      <c r="G29" s="75"/>
      <c r="H29" s="73" t="s">
        <v>36</v>
      </c>
      <c r="I29" s="74"/>
      <c r="J29" s="75"/>
      <c r="K29" s="73" t="s">
        <v>37</v>
      </c>
      <c r="L29" s="74"/>
      <c r="M29" s="75"/>
      <c r="N29" s="73" t="s">
        <v>38</v>
      </c>
      <c r="O29" s="74"/>
      <c r="P29" s="75"/>
      <c r="Q29" s="73" t="s">
        <v>39</v>
      </c>
      <c r="R29" s="74"/>
      <c r="S29" s="75"/>
      <c r="T29" s="73" t="s">
        <v>40</v>
      </c>
      <c r="U29" s="74"/>
      <c r="V29" s="75"/>
      <c r="W29" s="73" t="s">
        <v>41</v>
      </c>
      <c r="X29" s="74"/>
      <c r="Y29" s="75"/>
      <c r="Z29" s="73" t="s">
        <v>42</v>
      </c>
      <c r="AA29" s="74"/>
      <c r="AB29" s="75"/>
      <c r="AC29" s="73" t="s">
        <v>43</v>
      </c>
      <c r="AD29" s="74"/>
      <c r="AE29" s="75"/>
      <c r="AF29" s="73" t="s">
        <v>44</v>
      </c>
      <c r="AG29" s="74"/>
      <c r="AH29" s="75"/>
      <c r="AI29" s="73" t="s">
        <v>45</v>
      </c>
      <c r="AJ29" s="74"/>
      <c r="AK29" s="75"/>
      <c r="AL29" s="42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48" ht="18.75" customHeight="1" x14ac:dyDescent="0.3">
      <c r="A30" s="72"/>
      <c r="B30" s="76"/>
      <c r="C30" s="77"/>
      <c r="D30" s="78"/>
      <c r="E30" s="76"/>
      <c r="F30" s="77"/>
      <c r="G30" s="78"/>
      <c r="H30" s="76"/>
      <c r="I30" s="77"/>
      <c r="J30" s="78"/>
      <c r="K30" s="76"/>
      <c r="L30" s="77"/>
      <c r="M30" s="78"/>
      <c r="N30" s="76"/>
      <c r="O30" s="77"/>
      <c r="P30" s="78"/>
      <c r="Q30" s="76"/>
      <c r="R30" s="77"/>
      <c r="S30" s="78"/>
      <c r="T30" s="76"/>
      <c r="U30" s="77"/>
      <c r="V30" s="78"/>
      <c r="W30" s="76"/>
      <c r="X30" s="77"/>
      <c r="Y30" s="78"/>
      <c r="Z30" s="76"/>
      <c r="AA30" s="77"/>
      <c r="AB30" s="78"/>
      <c r="AC30" s="76"/>
      <c r="AD30" s="77"/>
      <c r="AE30" s="78"/>
      <c r="AF30" s="76"/>
      <c r="AG30" s="77"/>
      <c r="AH30" s="78"/>
      <c r="AI30" s="76"/>
      <c r="AJ30" s="77"/>
      <c r="AK30" s="78"/>
      <c r="AL30" s="42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48" ht="29.25" customHeight="1" x14ac:dyDescent="0.3">
      <c r="A31" s="72"/>
      <c r="B31" s="45" t="s">
        <v>46</v>
      </c>
      <c r="C31" s="45" t="s">
        <v>47</v>
      </c>
      <c r="D31" s="45" t="s">
        <v>48</v>
      </c>
      <c r="E31" s="45" t="s">
        <v>46</v>
      </c>
      <c r="F31" s="45" t="s">
        <v>47</v>
      </c>
      <c r="G31" s="45" t="s">
        <v>48</v>
      </c>
      <c r="H31" s="45" t="s">
        <v>46</v>
      </c>
      <c r="I31" s="45" t="s">
        <v>47</v>
      </c>
      <c r="J31" s="45" t="s">
        <v>48</v>
      </c>
      <c r="K31" s="45" t="s">
        <v>46</v>
      </c>
      <c r="L31" s="45" t="s">
        <v>47</v>
      </c>
      <c r="M31" s="45" t="s">
        <v>48</v>
      </c>
      <c r="N31" s="45" t="s">
        <v>46</v>
      </c>
      <c r="O31" s="45" t="s">
        <v>47</v>
      </c>
      <c r="P31" s="45" t="s">
        <v>48</v>
      </c>
      <c r="Q31" s="45" t="s">
        <v>46</v>
      </c>
      <c r="R31" s="45" t="s">
        <v>47</v>
      </c>
      <c r="S31" s="45" t="s">
        <v>48</v>
      </c>
      <c r="T31" s="45" t="s">
        <v>46</v>
      </c>
      <c r="U31" s="45" t="s">
        <v>47</v>
      </c>
      <c r="V31" s="45" t="s">
        <v>48</v>
      </c>
      <c r="W31" s="45" t="s">
        <v>46</v>
      </c>
      <c r="X31" s="45" t="s">
        <v>47</v>
      </c>
      <c r="Y31" s="45" t="s">
        <v>48</v>
      </c>
      <c r="Z31" s="45" t="s">
        <v>46</v>
      </c>
      <c r="AA31" s="45" t="s">
        <v>47</v>
      </c>
      <c r="AB31" s="45" t="s">
        <v>48</v>
      </c>
      <c r="AC31" s="45" t="s">
        <v>46</v>
      </c>
      <c r="AD31" s="45" t="s">
        <v>47</v>
      </c>
      <c r="AE31" s="45" t="s">
        <v>48</v>
      </c>
      <c r="AF31" s="45" t="s">
        <v>46</v>
      </c>
      <c r="AG31" s="45" t="s">
        <v>47</v>
      </c>
      <c r="AH31" s="45" t="s">
        <v>48</v>
      </c>
      <c r="AI31" s="45" t="s">
        <v>46</v>
      </c>
      <c r="AJ31" s="45" t="s">
        <v>47</v>
      </c>
      <c r="AK31" s="45" t="s">
        <v>48</v>
      </c>
      <c r="AL31" s="42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48" ht="26.25" customHeight="1" x14ac:dyDescent="0.3">
      <c r="A32" s="70" t="s">
        <v>55</v>
      </c>
      <c r="B32" s="46">
        <v>1</v>
      </c>
      <c r="C32" s="41"/>
      <c r="D32" s="41"/>
      <c r="E32" s="46">
        <v>1</v>
      </c>
      <c r="F32" s="41"/>
      <c r="G32" s="41"/>
      <c r="H32" s="46">
        <v>1</v>
      </c>
      <c r="I32" s="41"/>
      <c r="J32" s="41"/>
      <c r="K32" s="46">
        <v>1</v>
      </c>
      <c r="L32" s="41"/>
      <c r="M32" s="41"/>
      <c r="N32" s="46">
        <v>1</v>
      </c>
      <c r="O32" s="41"/>
      <c r="P32" s="41"/>
      <c r="Q32" s="46">
        <v>1</v>
      </c>
      <c r="R32" s="41"/>
      <c r="S32" s="41"/>
      <c r="T32" s="46">
        <v>1</v>
      </c>
      <c r="U32" s="41"/>
      <c r="V32" s="41"/>
      <c r="W32" s="46">
        <v>1</v>
      </c>
      <c r="X32" s="41"/>
      <c r="Y32" s="41"/>
      <c r="Z32" s="46">
        <v>1</v>
      </c>
      <c r="AA32" s="41"/>
      <c r="AB32" s="41"/>
      <c r="AC32" s="46">
        <v>1</v>
      </c>
      <c r="AD32" s="41"/>
      <c r="AE32" s="41"/>
      <c r="AF32" s="46">
        <v>1</v>
      </c>
      <c r="AG32" s="41"/>
      <c r="AH32" s="41"/>
      <c r="AI32" s="46">
        <v>1</v>
      </c>
      <c r="AJ32" s="41"/>
      <c r="AK32" s="41"/>
      <c r="AL32" s="42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48" ht="26.25" customHeight="1" x14ac:dyDescent="0.3">
      <c r="A33" s="59"/>
      <c r="B33" s="47">
        <v>2</v>
      </c>
      <c r="C33" s="41"/>
      <c r="D33" s="41"/>
      <c r="E33" s="47">
        <v>2</v>
      </c>
      <c r="F33" s="41"/>
      <c r="G33" s="41"/>
      <c r="H33" s="47">
        <v>2</v>
      </c>
      <c r="I33" s="41"/>
      <c r="J33" s="41"/>
      <c r="K33" s="47">
        <v>2</v>
      </c>
      <c r="L33" s="41"/>
      <c r="M33" s="41"/>
      <c r="N33" s="47">
        <v>2</v>
      </c>
      <c r="O33" s="41"/>
      <c r="P33" s="41"/>
      <c r="Q33" s="47">
        <v>2</v>
      </c>
      <c r="R33" s="41"/>
      <c r="S33" s="41"/>
      <c r="T33" s="47">
        <v>2</v>
      </c>
      <c r="U33" s="41"/>
      <c r="V33" s="41"/>
      <c r="W33" s="47">
        <v>2</v>
      </c>
      <c r="X33" s="41"/>
      <c r="Y33" s="41"/>
      <c r="Z33" s="47">
        <v>2</v>
      </c>
      <c r="AA33" s="41"/>
      <c r="AB33" s="41"/>
      <c r="AC33" s="47">
        <v>2</v>
      </c>
      <c r="AD33" s="41"/>
      <c r="AE33" s="41"/>
      <c r="AF33" s="47">
        <v>2</v>
      </c>
      <c r="AG33" s="41"/>
      <c r="AH33" s="41"/>
      <c r="AI33" s="47">
        <v>2</v>
      </c>
      <c r="AJ33" s="41"/>
      <c r="AK33" s="41"/>
      <c r="AL33" s="42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48" ht="26.25" customHeight="1" x14ac:dyDescent="0.3">
      <c r="A34" s="59"/>
      <c r="B34" s="47">
        <v>3</v>
      </c>
      <c r="C34" s="41"/>
      <c r="D34" s="41"/>
      <c r="E34" s="47">
        <v>3</v>
      </c>
      <c r="F34" s="41"/>
      <c r="G34" s="41"/>
      <c r="H34" s="47">
        <v>3</v>
      </c>
      <c r="I34" s="41"/>
      <c r="J34" s="41"/>
      <c r="K34" s="47">
        <v>3</v>
      </c>
      <c r="L34" s="41"/>
      <c r="M34" s="41"/>
      <c r="N34" s="47">
        <v>3</v>
      </c>
      <c r="O34" s="41"/>
      <c r="P34" s="41"/>
      <c r="Q34" s="47">
        <v>3</v>
      </c>
      <c r="R34" s="41"/>
      <c r="S34" s="41"/>
      <c r="T34" s="47">
        <v>3</v>
      </c>
      <c r="U34" s="41"/>
      <c r="V34" s="41"/>
      <c r="W34" s="47">
        <v>3</v>
      </c>
      <c r="X34" s="41"/>
      <c r="Y34" s="41"/>
      <c r="Z34" s="47">
        <v>3</v>
      </c>
      <c r="AA34" s="41"/>
      <c r="AB34" s="41"/>
      <c r="AC34" s="47">
        <v>3</v>
      </c>
      <c r="AD34" s="41"/>
      <c r="AE34" s="41"/>
      <c r="AF34" s="47">
        <v>3</v>
      </c>
      <c r="AG34" s="41"/>
      <c r="AH34" s="41"/>
      <c r="AI34" s="47">
        <v>3</v>
      </c>
      <c r="AJ34" s="41"/>
      <c r="AK34" s="41"/>
      <c r="AL34" s="42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48" ht="11.25" customHeight="1" x14ac:dyDescent="0.3">
      <c r="A35" s="48"/>
      <c r="B35" s="47"/>
      <c r="C35" s="49"/>
      <c r="D35" s="49"/>
      <c r="E35" s="47"/>
      <c r="F35" s="49"/>
      <c r="G35" s="49"/>
      <c r="H35" s="47"/>
      <c r="I35" s="49"/>
      <c r="J35" s="49"/>
      <c r="K35" s="47"/>
      <c r="L35" s="49"/>
      <c r="M35" s="49"/>
      <c r="N35" s="47"/>
      <c r="O35" s="49"/>
      <c r="P35" s="49"/>
      <c r="Q35" s="47"/>
      <c r="R35" s="49"/>
      <c r="S35" s="49"/>
      <c r="T35" s="47"/>
      <c r="U35" s="49"/>
      <c r="V35" s="49"/>
      <c r="W35" s="47"/>
      <c r="X35" s="49"/>
      <c r="Y35" s="49"/>
      <c r="Z35" s="47"/>
      <c r="AA35" s="49"/>
      <c r="AB35" s="49"/>
      <c r="AC35" s="47"/>
      <c r="AD35" s="49"/>
      <c r="AE35" s="49"/>
      <c r="AF35" s="47"/>
      <c r="AG35" s="49"/>
      <c r="AH35" s="49"/>
      <c r="AI35" s="47"/>
      <c r="AJ35" s="49"/>
      <c r="AK35" s="49"/>
      <c r="AL35" s="42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48" ht="26.25" customHeight="1" x14ac:dyDescent="0.3">
      <c r="A36" s="70" t="s">
        <v>56</v>
      </c>
      <c r="B36" s="47">
        <v>1</v>
      </c>
      <c r="C36" s="41"/>
      <c r="D36" s="41"/>
      <c r="E36" s="47">
        <v>1</v>
      </c>
      <c r="F36" s="41"/>
      <c r="G36" s="41"/>
      <c r="H36" s="47">
        <v>1</v>
      </c>
      <c r="I36" s="41"/>
      <c r="J36" s="41"/>
      <c r="K36" s="47">
        <v>1</v>
      </c>
      <c r="L36" s="41"/>
      <c r="M36" s="41"/>
      <c r="N36" s="47">
        <v>1</v>
      </c>
      <c r="O36" s="41"/>
      <c r="P36" s="41"/>
      <c r="Q36" s="47">
        <v>1</v>
      </c>
      <c r="R36" s="41"/>
      <c r="S36" s="41"/>
      <c r="T36" s="47">
        <v>1</v>
      </c>
      <c r="U36" s="41"/>
      <c r="V36" s="41"/>
      <c r="W36" s="47">
        <v>1</v>
      </c>
      <c r="X36" s="41"/>
      <c r="Y36" s="41"/>
      <c r="Z36" s="47">
        <v>1</v>
      </c>
      <c r="AA36" s="41"/>
      <c r="AB36" s="41"/>
      <c r="AC36" s="47">
        <v>1</v>
      </c>
      <c r="AD36" s="41"/>
      <c r="AE36" s="41"/>
      <c r="AF36" s="47">
        <v>1</v>
      </c>
      <c r="AG36" s="41"/>
      <c r="AH36" s="41"/>
      <c r="AI36" s="47">
        <v>1</v>
      </c>
      <c r="AJ36" s="41"/>
      <c r="AK36" s="41"/>
      <c r="AL36" s="42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spans="1:48" ht="26.25" customHeight="1" x14ac:dyDescent="0.3">
      <c r="A37" s="59"/>
      <c r="B37" s="47">
        <v>2</v>
      </c>
      <c r="C37" s="41"/>
      <c r="D37" s="41"/>
      <c r="E37" s="47">
        <v>2</v>
      </c>
      <c r="F37" s="41"/>
      <c r="G37" s="41"/>
      <c r="H37" s="47">
        <v>2</v>
      </c>
      <c r="I37" s="41"/>
      <c r="J37" s="41"/>
      <c r="K37" s="47">
        <v>2</v>
      </c>
      <c r="L37" s="41"/>
      <c r="M37" s="41"/>
      <c r="N37" s="47">
        <v>2</v>
      </c>
      <c r="O37" s="41"/>
      <c r="P37" s="41"/>
      <c r="Q37" s="47">
        <v>2</v>
      </c>
      <c r="R37" s="41"/>
      <c r="S37" s="41"/>
      <c r="T37" s="47">
        <v>2</v>
      </c>
      <c r="U37" s="41"/>
      <c r="V37" s="41"/>
      <c r="W37" s="47">
        <v>2</v>
      </c>
      <c r="X37" s="41"/>
      <c r="Y37" s="41"/>
      <c r="Z37" s="47">
        <v>2</v>
      </c>
      <c r="AA37" s="41"/>
      <c r="AB37" s="41"/>
      <c r="AC37" s="47">
        <v>2</v>
      </c>
      <c r="AD37" s="41"/>
      <c r="AE37" s="41"/>
      <c r="AF37" s="47">
        <v>2</v>
      </c>
      <c r="AG37" s="41"/>
      <c r="AH37" s="41"/>
      <c r="AI37" s="47">
        <v>2</v>
      </c>
      <c r="AJ37" s="41"/>
      <c r="AK37" s="41"/>
      <c r="AL37" s="42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48" ht="26.25" customHeight="1" x14ac:dyDescent="0.3">
      <c r="A38" s="59"/>
      <c r="B38" s="47">
        <v>3</v>
      </c>
      <c r="C38" s="41"/>
      <c r="D38" s="41"/>
      <c r="E38" s="47">
        <v>3</v>
      </c>
      <c r="F38" s="41"/>
      <c r="G38" s="41"/>
      <c r="H38" s="47">
        <v>3</v>
      </c>
      <c r="I38" s="41"/>
      <c r="J38" s="41"/>
      <c r="K38" s="47">
        <v>3</v>
      </c>
      <c r="L38" s="41"/>
      <c r="M38" s="41"/>
      <c r="N38" s="47">
        <v>3</v>
      </c>
      <c r="O38" s="41"/>
      <c r="P38" s="41"/>
      <c r="Q38" s="47">
        <v>3</v>
      </c>
      <c r="R38" s="41"/>
      <c r="S38" s="41"/>
      <c r="T38" s="47">
        <v>3</v>
      </c>
      <c r="U38" s="41"/>
      <c r="V38" s="41"/>
      <c r="W38" s="47">
        <v>3</v>
      </c>
      <c r="X38" s="41"/>
      <c r="Y38" s="41"/>
      <c r="Z38" s="47">
        <v>3</v>
      </c>
      <c r="AA38" s="41"/>
      <c r="AB38" s="41"/>
      <c r="AC38" s="47">
        <v>3</v>
      </c>
      <c r="AD38" s="41"/>
      <c r="AE38" s="41"/>
      <c r="AF38" s="47">
        <v>3</v>
      </c>
      <c r="AG38" s="41"/>
      <c r="AH38" s="41"/>
      <c r="AI38" s="47">
        <v>3</v>
      </c>
      <c r="AJ38" s="41"/>
      <c r="AK38" s="41"/>
      <c r="AL38" s="42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48" ht="11.25" customHeight="1" x14ac:dyDescent="0.3">
      <c r="A39" s="48"/>
      <c r="B39" s="47"/>
      <c r="C39" s="49"/>
      <c r="D39" s="49"/>
      <c r="E39" s="47"/>
      <c r="F39" s="49"/>
      <c r="G39" s="49"/>
      <c r="H39" s="47"/>
      <c r="I39" s="49"/>
      <c r="J39" s="49"/>
      <c r="K39" s="47"/>
      <c r="L39" s="49"/>
      <c r="M39" s="49"/>
      <c r="N39" s="47"/>
      <c r="O39" s="49"/>
      <c r="P39" s="49"/>
      <c r="Q39" s="47"/>
      <c r="R39" s="49"/>
      <c r="S39" s="49"/>
      <c r="T39" s="47"/>
      <c r="U39" s="49"/>
      <c r="V39" s="49"/>
      <c r="W39" s="47"/>
      <c r="X39" s="49"/>
      <c r="Y39" s="49"/>
      <c r="Z39" s="47"/>
      <c r="AA39" s="49"/>
      <c r="AB39" s="49"/>
      <c r="AC39" s="47"/>
      <c r="AD39" s="49"/>
      <c r="AE39" s="49"/>
      <c r="AF39" s="47"/>
      <c r="AG39" s="49"/>
      <c r="AH39" s="49"/>
      <c r="AI39" s="47"/>
      <c r="AJ39" s="49"/>
      <c r="AK39" s="49"/>
      <c r="AL39" s="42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48" ht="26.25" customHeight="1" x14ac:dyDescent="0.3">
      <c r="A40" s="70" t="s">
        <v>57</v>
      </c>
      <c r="B40" s="47">
        <v>1</v>
      </c>
      <c r="C40" s="41"/>
      <c r="D40" s="41"/>
      <c r="E40" s="47">
        <v>1</v>
      </c>
      <c r="F40" s="41"/>
      <c r="G40" s="41"/>
      <c r="H40" s="47">
        <v>1</v>
      </c>
      <c r="I40" s="41"/>
      <c r="J40" s="41"/>
      <c r="K40" s="47">
        <v>1</v>
      </c>
      <c r="L40" s="41"/>
      <c r="M40" s="41"/>
      <c r="N40" s="47">
        <v>1</v>
      </c>
      <c r="O40" s="41"/>
      <c r="P40" s="41"/>
      <c r="Q40" s="47">
        <v>1</v>
      </c>
      <c r="R40" s="41"/>
      <c r="S40" s="41"/>
      <c r="T40" s="47">
        <v>1</v>
      </c>
      <c r="U40" s="41"/>
      <c r="V40" s="41"/>
      <c r="W40" s="47">
        <v>1</v>
      </c>
      <c r="X40" s="41"/>
      <c r="Y40" s="41"/>
      <c r="Z40" s="47">
        <v>1</v>
      </c>
      <c r="AA40" s="41"/>
      <c r="AB40" s="41"/>
      <c r="AC40" s="47">
        <v>1</v>
      </c>
      <c r="AD40" s="41"/>
      <c r="AE40" s="41"/>
      <c r="AF40" s="47">
        <v>1</v>
      </c>
      <c r="AG40" s="41"/>
      <c r="AH40" s="41"/>
      <c r="AI40" s="47">
        <v>1</v>
      </c>
      <c r="AJ40" s="41"/>
      <c r="AK40" s="41"/>
      <c r="AL40" s="42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48" ht="26.25" customHeight="1" x14ac:dyDescent="0.3">
      <c r="A41" s="59"/>
      <c r="B41" s="47">
        <v>2</v>
      </c>
      <c r="C41" s="41"/>
      <c r="D41" s="41"/>
      <c r="E41" s="47">
        <v>2</v>
      </c>
      <c r="F41" s="41"/>
      <c r="G41" s="41"/>
      <c r="H41" s="47">
        <v>2</v>
      </c>
      <c r="I41" s="41"/>
      <c r="J41" s="41"/>
      <c r="K41" s="47">
        <v>2</v>
      </c>
      <c r="L41" s="41"/>
      <c r="M41" s="41"/>
      <c r="N41" s="47">
        <v>2</v>
      </c>
      <c r="O41" s="41"/>
      <c r="P41" s="41"/>
      <c r="Q41" s="47">
        <v>2</v>
      </c>
      <c r="R41" s="41"/>
      <c r="S41" s="41"/>
      <c r="T41" s="47">
        <v>2</v>
      </c>
      <c r="U41" s="41"/>
      <c r="V41" s="41"/>
      <c r="W41" s="47">
        <v>2</v>
      </c>
      <c r="X41" s="41"/>
      <c r="Y41" s="41"/>
      <c r="Z41" s="47">
        <v>2</v>
      </c>
      <c r="AA41" s="41"/>
      <c r="AB41" s="41"/>
      <c r="AC41" s="47">
        <v>2</v>
      </c>
      <c r="AD41" s="41"/>
      <c r="AE41" s="41"/>
      <c r="AF41" s="47">
        <v>2</v>
      </c>
      <c r="AG41" s="41"/>
      <c r="AH41" s="41"/>
      <c r="AI41" s="47">
        <v>2</v>
      </c>
      <c r="AJ41" s="41"/>
      <c r="AK41" s="41"/>
      <c r="AL41" s="42"/>
      <c r="AM41" s="43"/>
      <c r="AN41" s="43"/>
      <c r="AO41" s="43"/>
      <c r="AP41" s="43"/>
      <c r="AQ41" s="43"/>
      <c r="AR41" s="43"/>
      <c r="AS41" s="43"/>
      <c r="AT41" s="43"/>
      <c r="AU41" s="43"/>
      <c r="AV41" s="43"/>
    </row>
    <row r="42" spans="1:48" ht="26.25" customHeight="1" x14ac:dyDescent="0.3">
      <c r="A42" s="59"/>
      <c r="B42" s="47">
        <v>3</v>
      </c>
      <c r="C42" s="41"/>
      <c r="D42" s="41"/>
      <c r="E42" s="47">
        <v>3</v>
      </c>
      <c r="F42" s="41"/>
      <c r="G42" s="41"/>
      <c r="H42" s="47">
        <v>3</v>
      </c>
      <c r="I42" s="41"/>
      <c r="J42" s="41"/>
      <c r="K42" s="47">
        <v>3</v>
      </c>
      <c r="L42" s="41"/>
      <c r="M42" s="41"/>
      <c r="N42" s="47">
        <v>3</v>
      </c>
      <c r="O42" s="41"/>
      <c r="P42" s="41"/>
      <c r="Q42" s="47">
        <v>3</v>
      </c>
      <c r="R42" s="41"/>
      <c r="S42" s="41"/>
      <c r="T42" s="47">
        <v>3</v>
      </c>
      <c r="U42" s="41"/>
      <c r="V42" s="41"/>
      <c r="W42" s="47">
        <v>3</v>
      </c>
      <c r="X42" s="41"/>
      <c r="Y42" s="41"/>
      <c r="Z42" s="47">
        <v>3</v>
      </c>
      <c r="AA42" s="41"/>
      <c r="AB42" s="41"/>
      <c r="AC42" s="47">
        <v>3</v>
      </c>
      <c r="AD42" s="41"/>
      <c r="AE42" s="41"/>
      <c r="AF42" s="47">
        <v>3</v>
      </c>
      <c r="AG42" s="41"/>
      <c r="AH42" s="41"/>
      <c r="AI42" s="47">
        <v>3</v>
      </c>
      <c r="AJ42" s="41"/>
      <c r="AK42" s="41"/>
      <c r="AL42" s="42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1:48" ht="11.25" customHeight="1" x14ac:dyDescent="0.3">
      <c r="A43" s="48"/>
      <c r="B43" s="47"/>
      <c r="C43" s="49"/>
      <c r="D43" s="49"/>
      <c r="E43" s="47"/>
      <c r="F43" s="49"/>
      <c r="G43" s="49"/>
      <c r="H43" s="47"/>
      <c r="I43" s="49"/>
      <c r="J43" s="49"/>
      <c r="K43" s="47"/>
      <c r="L43" s="49"/>
      <c r="M43" s="49"/>
      <c r="N43" s="47"/>
      <c r="O43" s="49"/>
      <c r="P43" s="49"/>
      <c r="Q43" s="47"/>
      <c r="R43" s="49"/>
      <c r="S43" s="49"/>
      <c r="T43" s="47"/>
      <c r="U43" s="49"/>
      <c r="V43" s="49"/>
      <c r="W43" s="47"/>
      <c r="X43" s="49"/>
      <c r="Y43" s="49"/>
      <c r="Z43" s="47"/>
      <c r="AA43" s="49"/>
      <c r="AB43" s="49"/>
      <c r="AC43" s="47"/>
      <c r="AD43" s="49"/>
      <c r="AE43" s="49"/>
      <c r="AF43" s="47"/>
      <c r="AG43" s="49"/>
      <c r="AH43" s="49"/>
      <c r="AI43" s="47"/>
      <c r="AJ43" s="49"/>
      <c r="AK43" s="49"/>
      <c r="AL43" s="42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spans="1:48" ht="26.25" customHeight="1" x14ac:dyDescent="0.3">
      <c r="A44" s="70" t="s">
        <v>58</v>
      </c>
      <c r="B44" s="47">
        <v>1</v>
      </c>
      <c r="C44" s="41"/>
      <c r="D44" s="41"/>
      <c r="E44" s="47">
        <v>1</v>
      </c>
      <c r="F44" s="41"/>
      <c r="G44" s="41"/>
      <c r="H44" s="47">
        <v>1</v>
      </c>
      <c r="I44" s="41"/>
      <c r="J44" s="41"/>
      <c r="K44" s="47">
        <v>1</v>
      </c>
      <c r="L44" s="41"/>
      <c r="M44" s="41"/>
      <c r="N44" s="47">
        <v>1</v>
      </c>
      <c r="O44" s="41"/>
      <c r="P44" s="41"/>
      <c r="Q44" s="47">
        <v>1</v>
      </c>
      <c r="R44" s="41"/>
      <c r="S44" s="41"/>
      <c r="T44" s="47">
        <v>1</v>
      </c>
      <c r="U44" s="41"/>
      <c r="V44" s="41"/>
      <c r="W44" s="47">
        <v>1</v>
      </c>
      <c r="X44" s="41"/>
      <c r="Y44" s="41"/>
      <c r="Z44" s="47">
        <v>1</v>
      </c>
      <c r="AA44" s="41"/>
      <c r="AB44" s="41"/>
      <c r="AC44" s="47">
        <v>1</v>
      </c>
      <c r="AD44" s="41"/>
      <c r="AE44" s="41"/>
      <c r="AF44" s="47">
        <v>1</v>
      </c>
      <c r="AG44" s="41"/>
      <c r="AH44" s="41"/>
      <c r="AI44" s="47">
        <v>1</v>
      </c>
      <c r="AJ44" s="41"/>
      <c r="AK44" s="41"/>
      <c r="AL44" s="42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spans="1:48" ht="26.25" customHeight="1" x14ac:dyDescent="0.3">
      <c r="A45" s="59"/>
      <c r="B45" s="47">
        <v>2</v>
      </c>
      <c r="C45" s="41"/>
      <c r="D45" s="41"/>
      <c r="E45" s="47">
        <v>2</v>
      </c>
      <c r="F45" s="41"/>
      <c r="G45" s="41"/>
      <c r="H45" s="47">
        <v>2</v>
      </c>
      <c r="I45" s="41"/>
      <c r="J45" s="41"/>
      <c r="K45" s="47">
        <v>2</v>
      </c>
      <c r="L45" s="41"/>
      <c r="M45" s="41"/>
      <c r="N45" s="47">
        <v>2</v>
      </c>
      <c r="O45" s="41"/>
      <c r="P45" s="41"/>
      <c r="Q45" s="47">
        <v>2</v>
      </c>
      <c r="R45" s="41"/>
      <c r="S45" s="41"/>
      <c r="T45" s="47">
        <v>2</v>
      </c>
      <c r="U45" s="41"/>
      <c r="V45" s="41"/>
      <c r="W45" s="47">
        <v>2</v>
      </c>
      <c r="X45" s="41"/>
      <c r="Y45" s="41"/>
      <c r="Z45" s="47">
        <v>2</v>
      </c>
      <c r="AA45" s="41"/>
      <c r="AB45" s="41"/>
      <c r="AC45" s="47">
        <v>2</v>
      </c>
      <c r="AD45" s="41"/>
      <c r="AE45" s="41"/>
      <c r="AF45" s="47">
        <v>2</v>
      </c>
      <c r="AG45" s="41"/>
      <c r="AH45" s="41"/>
      <c r="AI45" s="47">
        <v>2</v>
      </c>
      <c r="AJ45" s="41"/>
      <c r="AK45" s="41"/>
      <c r="AL45" s="42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spans="1:48" ht="26.25" customHeight="1" x14ac:dyDescent="0.3">
      <c r="A46" s="59"/>
      <c r="B46" s="47">
        <v>3</v>
      </c>
      <c r="C46" s="41"/>
      <c r="D46" s="41"/>
      <c r="E46" s="47">
        <v>3</v>
      </c>
      <c r="F46" s="41"/>
      <c r="G46" s="41"/>
      <c r="H46" s="47">
        <v>3</v>
      </c>
      <c r="I46" s="41"/>
      <c r="J46" s="41"/>
      <c r="K46" s="47">
        <v>3</v>
      </c>
      <c r="L46" s="41"/>
      <c r="M46" s="41"/>
      <c r="N46" s="47">
        <v>3</v>
      </c>
      <c r="O46" s="41"/>
      <c r="P46" s="41"/>
      <c r="Q46" s="47">
        <v>3</v>
      </c>
      <c r="R46" s="41"/>
      <c r="S46" s="41"/>
      <c r="T46" s="47">
        <v>3</v>
      </c>
      <c r="U46" s="41"/>
      <c r="V46" s="41"/>
      <c r="W46" s="47">
        <v>3</v>
      </c>
      <c r="X46" s="41"/>
      <c r="Y46" s="41"/>
      <c r="Z46" s="47">
        <v>3</v>
      </c>
      <c r="AA46" s="41"/>
      <c r="AB46" s="41"/>
      <c r="AC46" s="47">
        <v>3</v>
      </c>
      <c r="AD46" s="41"/>
      <c r="AE46" s="41"/>
      <c r="AF46" s="47">
        <v>3</v>
      </c>
      <c r="AG46" s="41"/>
      <c r="AH46" s="41"/>
      <c r="AI46" s="47">
        <v>3</v>
      </c>
      <c r="AJ46" s="41"/>
      <c r="AK46" s="41"/>
      <c r="AL46" s="42"/>
      <c r="AM46" s="43"/>
      <c r="AN46" s="43"/>
      <c r="AO46" s="43"/>
      <c r="AP46" s="43"/>
      <c r="AQ46" s="43"/>
      <c r="AR46" s="43"/>
      <c r="AS46" s="43"/>
      <c r="AT46" s="43"/>
      <c r="AU46" s="43"/>
      <c r="AV46" s="43"/>
    </row>
    <row r="47" spans="1:48" ht="11.25" customHeight="1" x14ac:dyDescent="0.3">
      <c r="A47" s="48"/>
      <c r="B47" s="47"/>
      <c r="C47" s="49"/>
      <c r="D47" s="49"/>
      <c r="E47" s="47"/>
      <c r="F47" s="49"/>
      <c r="G47" s="49"/>
      <c r="H47" s="47"/>
      <c r="I47" s="49"/>
      <c r="J47" s="49"/>
      <c r="K47" s="47"/>
      <c r="L47" s="49"/>
      <c r="M47" s="49"/>
      <c r="N47" s="47"/>
      <c r="O47" s="49"/>
      <c r="P47" s="49"/>
      <c r="Q47" s="47"/>
      <c r="R47" s="49"/>
      <c r="S47" s="49"/>
      <c r="T47" s="47"/>
      <c r="U47" s="49"/>
      <c r="V47" s="49"/>
      <c r="W47" s="47"/>
      <c r="X47" s="49"/>
      <c r="Y47" s="49"/>
      <c r="Z47" s="47"/>
      <c r="AA47" s="49"/>
      <c r="AB47" s="49"/>
      <c r="AC47" s="47"/>
      <c r="AD47" s="49"/>
      <c r="AE47" s="49"/>
      <c r="AF47" s="47"/>
      <c r="AG47" s="49"/>
      <c r="AH47" s="49"/>
      <c r="AI47" s="47"/>
      <c r="AJ47" s="49"/>
      <c r="AK47" s="49"/>
      <c r="AL47" s="42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spans="1:48" ht="26.25" customHeight="1" x14ac:dyDescent="0.3">
      <c r="A48" s="70" t="s">
        <v>59</v>
      </c>
      <c r="B48" s="47">
        <v>1</v>
      </c>
      <c r="C48" s="41"/>
      <c r="D48" s="41"/>
      <c r="E48" s="47">
        <v>1</v>
      </c>
      <c r="F48" s="41"/>
      <c r="G48" s="41"/>
      <c r="H48" s="47">
        <v>1</v>
      </c>
      <c r="I48" s="41"/>
      <c r="J48" s="41"/>
      <c r="K48" s="47">
        <v>1</v>
      </c>
      <c r="L48" s="41"/>
      <c r="M48" s="41"/>
      <c r="N48" s="47">
        <v>1</v>
      </c>
      <c r="O48" s="41"/>
      <c r="P48" s="41"/>
      <c r="Q48" s="47">
        <v>1</v>
      </c>
      <c r="R48" s="41"/>
      <c r="S48" s="41"/>
      <c r="T48" s="47">
        <v>1</v>
      </c>
      <c r="U48" s="41"/>
      <c r="V48" s="41"/>
      <c r="W48" s="47">
        <v>1</v>
      </c>
      <c r="X48" s="41"/>
      <c r="Y48" s="41"/>
      <c r="Z48" s="47">
        <v>1</v>
      </c>
      <c r="AA48" s="41"/>
      <c r="AB48" s="41"/>
      <c r="AC48" s="47">
        <v>1</v>
      </c>
      <c r="AD48" s="41"/>
      <c r="AE48" s="41"/>
      <c r="AF48" s="47">
        <v>1</v>
      </c>
      <c r="AG48" s="41"/>
      <c r="AH48" s="41"/>
      <c r="AI48" s="47">
        <v>1</v>
      </c>
      <c r="AJ48" s="41"/>
      <c r="AK48" s="41"/>
      <c r="AL48" s="42"/>
      <c r="AM48" s="43"/>
      <c r="AN48" s="43"/>
      <c r="AO48" s="43"/>
      <c r="AP48" s="43"/>
      <c r="AQ48" s="43"/>
      <c r="AR48" s="43"/>
      <c r="AS48" s="43"/>
      <c r="AT48" s="43"/>
      <c r="AU48" s="43"/>
      <c r="AV48" s="43"/>
    </row>
    <row r="49" spans="1:48" ht="26.25" customHeight="1" x14ac:dyDescent="0.3">
      <c r="A49" s="59"/>
      <c r="B49" s="47">
        <v>2</v>
      </c>
      <c r="C49" s="41"/>
      <c r="D49" s="41"/>
      <c r="E49" s="47">
        <v>2</v>
      </c>
      <c r="F49" s="41"/>
      <c r="G49" s="41"/>
      <c r="H49" s="47">
        <v>2</v>
      </c>
      <c r="I49" s="41"/>
      <c r="J49" s="41"/>
      <c r="K49" s="47">
        <v>2</v>
      </c>
      <c r="L49" s="41"/>
      <c r="M49" s="41"/>
      <c r="N49" s="47">
        <v>2</v>
      </c>
      <c r="O49" s="41"/>
      <c r="P49" s="41"/>
      <c r="Q49" s="47">
        <v>2</v>
      </c>
      <c r="R49" s="41"/>
      <c r="S49" s="41"/>
      <c r="T49" s="47">
        <v>2</v>
      </c>
      <c r="U49" s="41"/>
      <c r="V49" s="41"/>
      <c r="W49" s="47">
        <v>2</v>
      </c>
      <c r="X49" s="41"/>
      <c r="Y49" s="41"/>
      <c r="Z49" s="47">
        <v>2</v>
      </c>
      <c r="AA49" s="41"/>
      <c r="AB49" s="41"/>
      <c r="AC49" s="47">
        <v>2</v>
      </c>
      <c r="AD49" s="41"/>
      <c r="AE49" s="41"/>
      <c r="AF49" s="47">
        <v>2</v>
      </c>
      <c r="AG49" s="41"/>
      <c r="AH49" s="41"/>
      <c r="AI49" s="47">
        <v>2</v>
      </c>
      <c r="AJ49" s="41"/>
      <c r="AK49" s="41"/>
      <c r="AL49" s="42"/>
      <c r="AM49" s="43"/>
      <c r="AN49" s="43"/>
      <c r="AO49" s="43"/>
      <c r="AP49" s="43"/>
      <c r="AQ49" s="43"/>
      <c r="AR49" s="43"/>
      <c r="AS49" s="43"/>
      <c r="AT49" s="43"/>
      <c r="AU49" s="43"/>
      <c r="AV49" s="43"/>
    </row>
    <row r="50" spans="1:48" ht="26.25" customHeight="1" x14ac:dyDescent="0.3">
      <c r="A50" s="59"/>
      <c r="B50" s="47">
        <v>3</v>
      </c>
      <c r="C50" s="41"/>
      <c r="D50" s="41"/>
      <c r="E50" s="47">
        <v>3</v>
      </c>
      <c r="F50" s="41"/>
      <c r="G50" s="41"/>
      <c r="H50" s="47">
        <v>3</v>
      </c>
      <c r="I50" s="41"/>
      <c r="J50" s="41"/>
      <c r="K50" s="47">
        <v>3</v>
      </c>
      <c r="L50" s="41"/>
      <c r="M50" s="41"/>
      <c r="N50" s="47">
        <v>3</v>
      </c>
      <c r="O50" s="41"/>
      <c r="P50" s="41"/>
      <c r="Q50" s="47">
        <v>3</v>
      </c>
      <c r="R50" s="41"/>
      <c r="S50" s="41"/>
      <c r="T50" s="47">
        <v>3</v>
      </c>
      <c r="U50" s="41"/>
      <c r="V50" s="41"/>
      <c r="W50" s="47">
        <v>3</v>
      </c>
      <c r="X50" s="41"/>
      <c r="Y50" s="41"/>
      <c r="Z50" s="47">
        <v>3</v>
      </c>
      <c r="AA50" s="41"/>
      <c r="AB50" s="41"/>
      <c r="AC50" s="47">
        <v>3</v>
      </c>
      <c r="AD50" s="41"/>
      <c r="AE50" s="41"/>
      <c r="AF50" s="47">
        <v>3</v>
      </c>
      <c r="AG50" s="41"/>
      <c r="AH50" s="41"/>
      <c r="AI50" s="47">
        <v>3</v>
      </c>
      <c r="AJ50" s="41"/>
      <c r="AK50" s="41"/>
      <c r="AL50" s="42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48" ht="11.25" customHeight="1" x14ac:dyDescent="0.3">
      <c r="A51" s="48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2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spans="1:48" ht="26.25" customHeight="1" x14ac:dyDescent="0.3">
      <c r="A52" s="70" t="s">
        <v>60</v>
      </c>
      <c r="B52" s="47">
        <v>1</v>
      </c>
      <c r="C52" s="41"/>
      <c r="D52" s="41"/>
      <c r="E52" s="47">
        <v>1</v>
      </c>
      <c r="F52" s="41"/>
      <c r="G52" s="41"/>
      <c r="H52" s="47">
        <v>1</v>
      </c>
      <c r="I52" s="41"/>
      <c r="J52" s="41"/>
      <c r="K52" s="47">
        <v>1</v>
      </c>
      <c r="L52" s="41"/>
      <c r="M52" s="41"/>
      <c r="N52" s="47">
        <v>1</v>
      </c>
      <c r="O52" s="41"/>
      <c r="P52" s="41"/>
      <c r="Q52" s="47">
        <v>1</v>
      </c>
      <c r="R52" s="41"/>
      <c r="S52" s="41"/>
      <c r="T52" s="47">
        <v>1</v>
      </c>
      <c r="U52" s="41"/>
      <c r="V52" s="41"/>
      <c r="W52" s="47">
        <v>1</v>
      </c>
      <c r="X52" s="41"/>
      <c r="Y52" s="41"/>
      <c r="Z52" s="47">
        <v>1</v>
      </c>
      <c r="AA52" s="41"/>
      <c r="AB52" s="41"/>
      <c r="AC52" s="47">
        <v>1</v>
      </c>
      <c r="AD52" s="41"/>
      <c r="AE52" s="41"/>
      <c r="AF52" s="47">
        <v>1</v>
      </c>
      <c r="AG52" s="41"/>
      <c r="AH52" s="41"/>
      <c r="AI52" s="47">
        <v>1</v>
      </c>
      <c r="AJ52" s="41"/>
      <c r="AK52" s="41"/>
      <c r="AL52" s="42"/>
      <c r="AM52" s="43"/>
      <c r="AN52" s="43"/>
      <c r="AO52" s="43"/>
      <c r="AP52" s="43"/>
      <c r="AQ52" s="43"/>
      <c r="AR52" s="43"/>
      <c r="AS52" s="43"/>
      <c r="AT52" s="43"/>
      <c r="AU52" s="43"/>
      <c r="AV52" s="43"/>
    </row>
    <row r="53" spans="1:48" ht="26.25" customHeight="1" x14ac:dyDescent="0.3">
      <c r="A53" s="59"/>
      <c r="B53" s="47">
        <v>2</v>
      </c>
      <c r="C53" s="41"/>
      <c r="D53" s="41"/>
      <c r="E53" s="47">
        <v>2</v>
      </c>
      <c r="F53" s="41"/>
      <c r="G53" s="41"/>
      <c r="H53" s="47">
        <v>2</v>
      </c>
      <c r="I53" s="41"/>
      <c r="J53" s="41"/>
      <c r="K53" s="47">
        <v>2</v>
      </c>
      <c r="L53" s="41"/>
      <c r="M53" s="41"/>
      <c r="N53" s="47">
        <v>2</v>
      </c>
      <c r="O53" s="41"/>
      <c r="P53" s="41"/>
      <c r="Q53" s="47">
        <v>2</v>
      </c>
      <c r="R53" s="41"/>
      <c r="S53" s="41"/>
      <c r="T53" s="47">
        <v>2</v>
      </c>
      <c r="U53" s="41"/>
      <c r="V53" s="41"/>
      <c r="W53" s="47">
        <v>2</v>
      </c>
      <c r="X53" s="41"/>
      <c r="Y53" s="41"/>
      <c r="Z53" s="47">
        <v>2</v>
      </c>
      <c r="AA53" s="41"/>
      <c r="AB53" s="41"/>
      <c r="AC53" s="47">
        <v>2</v>
      </c>
      <c r="AD53" s="41"/>
      <c r="AE53" s="41"/>
      <c r="AF53" s="47">
        <v>2</v>
      </c>
      <c r="AG53" s="41"/>
      <c r="AH53" s="41"/>
      <c r="AI53" s="47">
        <v>2</v>
      </c>
      <c r="AJ53" s="41"/>
      <c r="AK53" s="41"/>
      <c r="AL53" s="42"/>
      <c r="AM53" s="43"/>
      <c r="AN53" s="43"/>
      <c r="AO53" s="43"/>
      <c r="AP53" s="43"/>
      <c r="AQ53" s="43"/>
      <c r="AR53" s="43"/>
      <c r="AS53" s="43"/>
      <c r="AT53" s="43"/>
      <c r="AU53" s="43"/>
      <c r="AV53" s="43"/>
    </row>
    <row r="54" spans="1:48" ht="26.25" customHeight="1" x14ac:dyDescent="0.3">
      <c r="A54" s="59"/>
      <c r="B54" s="47">
        <v>3</v>
      </c>
      <c r="C54" s="41"/>
      <c r="D54" s="41"/>
      <c r="E54" s="47">
        <v>3</v>
      </c>
      <c r="F54" s="41"/>
      <c r="G54" s="41"/>
      <c r="H54" s="47">
        <v>3</v>
      </c>
      <c r="I54" s="41"/>
      <c r="J54" s="41"/>
      <c r="K54" s="47">
        <v>3</v>
      </c>
      <c r="L54" s="41"/>
      <c r="M54" s="41"/>
      <c r="N54" s="47">
        <v>3</v>
      </c>
      <c r="O54" s="41"/>
      <c r="P54" s="41"/>
      <c r="Q54" s="47">
        <v>3</v>
      </c>
      <c r="R54" s="41"/>
      <c r="S54" s="41"/>
      <c r="T54" s="47">
        <v>3</v>
      </c>
      <c r="U54" s="41"/>
      <c r="V54" s="41"/>
      <c r="W54" s="47">
        <v>3</v>
      </c>
      <c r="X54" s="41"/>
      <c r="Y54" s="41"/>
      <c r="Z54" s="47">
        <v>3</v>
      </c>
      <c r="AA54" s="41"/>
      <c r="AB54" s="41"/>
      <c r="AC54" s="47">
        <v>3</v>
      </c>
      <c r="AD54" s="41"/>
      <c r="AE54" s="41"/>
      <c r="AF54" s="47">
        <v>3</v>
      </c>
      <c r="AG54" s="41"/>
      <c r="AH54" s="41"/>
      <c r="AI54" s="47">
        <v>3</v>
      </c>
      <c r="AJ54" s="41"/>
      <c r="AK54" s="41"/>
      <c r="AL54" s="42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spans="1:48" ht="11.25" customHeight="1" x14ac:dyDescent="0.3">
      <c r="A55" s="71" t="s">
        <v>61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2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spans="1:48" ht="15" customHeight="1" x14ac:dyDescent="0.3">
      <c r="A56" s="72"/>
      <c r="B56" s="73" t="s">
        <v>34</v>
      </c>
      <c r="C56" s="74"/>
      <c r="D56" s="75"/>
      <c r="E56" s="73" t="s">
        <v>35</v>
      </c>
      <c r="F56" s="74"/>
      <c r="G56" s="75"/>
      <c r="H56" s="73" t="s">
        <v>36</v>
      </c>
      <c r="I56" s="74"/>
      <c r="J56" s="75"/>
      <c r="K56" s="73" t="s">
        <v>37</v>
      </c>
      <c r="L56" s="74"/>
      <c r="M56" s="75"/>
      <c r="N56" s="73" t="s">
        <v>38</v>
      </c>
      <c r="O56" s="74"/>
      <c r="P56" s="75"/>
      <c r="Q56" s="73" t="s">
        <v>39</v>
      </c>
      <c r="R56" s="74"/>
      <c r="S56" s="75"/>
      <c r="T56" s="73" t="s">
        <v>40</v>
      </c>
      <c r="U56" s="74"/>
      <c r="V56" s="75"/>
      <c r="W56" s="73" t="s">
        <v>41</v>
      </c>
      <c r="X56" s="74"/>
      <c r="Y56" s="75"/>
      <c r="Z56" s="73" t="s">
        <v>42</v>
      </c>
      <c r="AA56" s="74"/>
      <c r="AB56" s="75"/>
      <c r="AC56" s="73" t="s">
        <v>43</v>
      </c>
      <c r="AD56" s="74"/>
      <c r="AE56" s="75"/>
      <c r="AF56" s="73" t="s">
        <v>44</v>
      </c>
      <c r="AG56" s="74"/>
      <c r="AH56" s="75"/>
      <c r="AI56" s="73" t="s">
        <v>45</v>
      </c>
      <c r="AJ56" s="74"/>
      <c r="AK56" s="75"/>
      <c r="AL56" s="42"/>
      <c r="AM56" s="43"/>
      <c r="AN56" s="43"/>
      <c r="AO56" s="43"/>
      <c r="AP56" s="43"/>
      <c r="AQ56" s="43"/>
      <c r="AR56" s="43"/>
      <c r="AS56" s="43"/>
      <c r="AT56" s="43"/>
      <c r="AU56" s="43"/>
      <c r="AV56" s="43"/>
    </row>
    <row r="57" spans="1:48" ht="18.75" customHeight="1" x14ac:dyDescent="0.3">
      <c r="A57" s="72"/>
      <c r="B57" s="76"/>
      <c r="C57" s="77"/>
      <c r="D57" s="78"/>
      <c r="E57" s="76"/>
      <c r="F57" s="77"/>
      <c r="G57" s="78"/>
      <c r="H57" s="76"/>
      <c r="I57" s="77"/>
      <c r="J57" s="78"/>
      <c r="K57" s="76"/>
      <c r="L57" s="77"/>
      <c r="M57" s="78"/>
      <c r="N57" s="76"/>
      <c r="O57" s="77"/>
      <c r="P57" s="78"/>
      <c r="Q57" s="76"/>
      <c r="R57" s="77"/>
      <c r="S57" s="78"/>
      <c r="T57" s="76"/>
      <c r="U57" s="77"/>
      <c r="V57" s="78"/>
      <c r="W57" s="76"/>
      <c r="X57" s="77"/>
      <c r="Y57" s="78"/>
      <c r="Z57" s="76"/>
      <c r="AA57" s="77"/>
      <c r="AB57" s="78"/>
      <c r="AC57" s="76"/>
      <c r="AD57" s="77"/>
      <c r="AE57" s="78"/>
      <c r="AF57" s="76"/>
      <c r="AG57" s="77"/>
      <c r="AH57" s="78"/>
      <c r="AI57" s="76"/>
      <c r="AJ57" s="77"/>
      <c r="AK57" s="78"/>
      <c r="AL57" s="42"/>
      <c r="AM57" s="43"/>
      <c r="AN57" s="43"/>
      <c r="AO57" s="43"/>
      <c r="AP57" s="43"/>
      <c r="AQ57" s="43"/>
      <c r="AR57" s="43"/>
      <c r="AS57" s="43"/>
      <c r="AT57" s="43"/>
      <c r="AU57" s="43"/>
      <c r="AV57" s="43"/>
    </row>
    <row r="58" spans="1:48" ht="29.25" customHeight="1" x14ac:dyDescent="0.3">
      <c r="A58" s="72"/>
      <c r="B58" s="45" t="s">
        <v>46</v>
      </c>
      <c r="C58" s="45" t="s">
        <v>47</v>
      </c>
      <c r="D58" s="45" t="s">
        <v>48</v>
      </c>
      <c r="E58" s="45" t="s">
        <v>46</v>
      </c>
      <c r="F58" s="45" t="s">
        <v>47</v>
      </c>
      <c r="G58" s="45" t="s">
        <v>48</v>
      </c>
      <c r="H58" s="45" t="s">
        <v>46</v>
      </c>
      <c r="I58" s="45" t="s">
        <v>47</v>
      </c>
      <c r="J58" s="45" t="s">
        <v>48</v>
      </c>
      <c r="K58" s="45" t="s">
        <v>46</v>
      </c>
      <c r="L58" s="45" t="s">
        <v>47</v>
      </c>
      <c r="M58" s="45" t="s">
        <v>48</v>
      </c>
      <c r="N58" s="45" t="s">
        <v>46</v>
      </c>
      <c r="O58" s="45" t="s">
        <v>47</v>
      </c>
      <c r="P58" s="45" t="s">
        <v>48</v>
      </c>
      <c r="Q58" s="45" t="s">
        <v>46</v>
      </c>
      <c r="R58" s="45" t="s">
        <v>47</v>
      </c>
      <c r="S58" s="45" t="s">
        <v>48</v>
      </c>
      <c r="T58" s="45" t="s">
        <v>46</v>
      </c>
      <c r="U58" s="45" t="s">
        <v>47</v>
      </c>
      <c r="V58" s="45" t="s">
        <v>48</v>
      </c>
      <c r="W58" s="45" t="s">
        <v>46</v>
      </c>
      <c r="X58" s="45" t="s">
        <v>47</v>
      </c>
      <c r="Y58" s="45" t="s">
        <v>48</v>
      </c>
      <c r="Z58" s="45" t="s">
        <v>46</v>
      </c>
      <c r="AA58" s="45" t="s">
        <v>47</v>
      </c>
      <c r="AB58" s="45" t="s">
        <v>48</v>
      </c>
      <c r="AC58" s="45" t="s">
        <v>46</v>
      </c>
      <c r="AD58" s="45" t="s">
        <v>47</v>
      </c>
      <c r="AE58" s="45" t="s">
        <v>48</v>
      </c>
      <c r="AF58" s="45" t="s">
        <v>46</v>
      </c>
      <c r="AG58" s="45" t="s">
        <v>47</v>
      </c>
      <c r="AH58" s="45" t="s">
        <v>48</v>
      </c>
      <c r="AI58" s="45" t="s">
        <v>46</v>
      </c>
      <c r="AJ58" s="45" t="s">
        <v>47</v>
      </c>
      <c r="AK58" s="45" t="s">
        <v>48</v>
      </c>
      <c r="AL58" s="42"/>
      <c r="AM58" s="43"/>
      <c r="AN58" s="43"/>
      <c r="AO58" s="43"/>
      <c r="AP58" s="43"/>
      <c r="AQ58" s="43"/>
      <c r="AR58" s="43"/>
      <c r="AS58" s="43"/>
      <c r="AT58" s="43"/>
      <c r="AU58" s="43"/>
      <c r="AV58" s="43"/>
    </row>
    <row r="59" spans="1:48" ht="26.25" customHeight="1" x14ac:dyDescent="0.3">
      <c r="A59" s="70" t="s">
        <v>62</v>
      </c>
      <c r="B59" s="46">
        <v>1</v>
      </c>
      <c r="C59" s="41"/>
      <c r="D59" s="41"/>
      <c r="E59" s="46">
        <v>1</v>
      </c>
      <c r="F59" s="41"/>
      <c r="G59" s="41"/>
      <c r="H59" s="46">
        <v>1</v>
      </c>
      <c r="I59" s="41"/>
      <c r="J59" s="41"/>
      <c r="K59" s="46">
        <v>1</v>
      </c>
      <c r="L59" s="41"/>
      <c r="M59" s="41"/>
      <c r="N59" s="46">
        <v>1</v>
      </c>
      <c r="O59" s="41"/>
      <c r="P59" s="41"/>
      <c r="Q59" s="46">
        <v>1</v>
      </c>
      <c r="R59" s="41"/>
      <c r="S59" s="41"/>
      <c r="T59" s="46">
        <v>1</v>
      </c>
      <c r="U59" s="41"/>
      <c r="V59" s="41"/>
      <c r="W59" s="46">
        <v>1</v>
      </c>
      <c r="X59" s="41"/>
      <c r="Y59" s="41"/>
      <c r="Z59" s="46">
        <v>1</v>
      </c>
      <c r="AA59" s="41"/>
      <c r="AB59" s="41"/>
      <c r="AC59" s="46">
        <v>1</v>
      </c>
      <c r="AD59" s="41"/>
      <c r="AE59" s="41"/>
      <c r="AF59" s="46">
        <v>1</v>
      </c>
      <c r="AG59" s="41"/>
      <c r="AH59" s="41"/>
      <c r="AI59" s="46">
        <v>1</v>
      </c>
      <c r="AJ59" s="41"/>
      <c r="AK59" s="41"/>
      <c r="AL59" s="42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1:48" ht="26.25" customHeight="1" x14ac:dyDescent="0.3">
      <c r="A60" s="59"/>
      <c r="B60" s="47">
        <v>2</v>
      </c>
      <c r="C60" s="41"/>
      <c r="D60" s="41"/>
      <c r="E60" s="47">
        <v>2</v>
      </c>
      <c r="F60" s="41"/>
      <c r="G60" s="41"/>
      <c r="H60" s="47">
        <v>2</v>
      </c>
      <c r="I60" s="41"/>
      <c r="J60" s="41"/>
      <c r="K60" s="47">
        <v>2</v>
      </c>
      <c r="L60" s="41"/>
      <c r="M60" s="41"/>
      <c r="N60" s="47">
        <v>2</v>
      </c>
      <c r="O60" s="41"/>
      <c r="P60" s="41"/>
      <c r="Q60" s="47">
        <v>2</v>
      </c>
      <c r="R60" s="41"/>
      <c r="S60" s="41"/>
      <c r="T60" s="47">
        <v>2</v>
      </c>
      <c r="U60" s="41"/>
      <c r="V60" s="41"/>
      <c r="W60" s="47">
        <v>2</v>
      </c>
      <c r="X60" s="41"/>
      <c r="Y60" s="41"/>
      <c r="Z60" s="47">
        <v>2</v>
      </c>
      <c r="AA60" s="41"/>
      <c r="AB60" s="41"/>
      <c r="AC60" s="47">
        <v>2</v>
      </c>
      <c r="AD60" s="41"/>
      <c r="AE60" s="41"/>
      <c r="AF60" s="47">
        <v>2</v>
      </c>
      <c r="AG60" s="41"/>
      <c r="AH60" s="41"/>
      <c r="AI60" s="47">
        <v>2</v>
      </c>
      <c r="AJ60" s="41"/>
      <c r="AK60" s="41"/>
      <c r="AL60" s="42"/>
      <c r="AM60" s="43"/>
      <c r="AN60" s="43"/>
      <c r="AO60" s="43"/>
      <c r="AP60" s="43"/>
      <c r="AQ60" s="43"/>
      <c r="AR60" s="43"/>
      <c r="AS60" s="43"/>
      <c r="AT60" s="43"/>
      <c r="AU60" s="43"/>
      <c r="AV60" s="43"/>
    </row>
    <row r="61" spans="1:48" ht="26.25" customHeight="1" x14ac:dyDescent="0.3">
      <c r="A61" s="59"/>
      <c r="B61" s="47">
        <v>3</v>
      </c>
      <c r="C61" s="41"/>
      <c r="D61" s="41"/>
      <c r="E61" s="47">
        <v>3</v>
      </c>
      <c r="F61" s="41"/>
      <c r="G61" s="41"/>
      <c r="H61" s="47">
        <v>3</v>
      </c>
      <c r="I61" s="41"/>
      <c r="J61" s="41"/>
      <c r="K61" s="47">
        <v>3</v>
      </c>
      <c r="L61" s="41"/>
      <c r="M61" s="41"/>
      <c r="N61" s="47">
        <v>3</v>
      </c>
      <c r="O61" s="41"/>
      <c r="P61" s="41"/>
      <c r="Q61" s="47">
        <v>3</v>
      </c>
      <c r="R61" s="41"/>
      <c r="S61" s="41"/>
      <c r="T61" s="47">
        <v>3</v>
      </c>
      <c r="U61" s="41"/>
      <c r="V61" s="41"/>
      <c r="W61" s="47">
        <v>3</v>
      </c>
      <c r="X61" s="41"/>
      <c r="Y61" s="41"/>
      <c r="Z61" s="47">
        <v>3</v>
      </c>
      <c r="AA61" s="41"/>
      <c r="AB61" s="41"/>
      <c r="AC61" s="47">
        <v>3</v>
      </c>
      <c r="AD61" s="41"/>
      <c r="AE61" s="41"/>
      <c r="AF61" s="47">
        <v>3</v>
      </c>
      <c r="AG61" s="41"/>
      <c r="AH61" s="41"/>
      <c r="AI61" s="47">
        <v>3</v>
      </c>
      <c r="AJ61" s="41"/>
      <c r="AK61" s="41"/>
      <c r="AL61" s="42"/>
      <c r="AM61" s="43"/>
      <c r="AN61" s="43"/>
      <c r="AO61" s="43"/>
      <c r="AP61" s="43"/>
      <c r="AQ61" s="43"/>
      <c r="AR61" s="43"/>
      <c r="AS61" s="43"/>
      <c r="AT61" s="43"/>
      <c r="AU61" s="43"/>
      <c r="AV61" s="43"/>
    </row>
    <row r="62" spans="1:48" ht="11.25" customHeight="1" x14ac:dyDescent="0.3">
      <c r="A62" s="48"/>
      <c r="B62" s="47"/>
      <c r="C62" s="49"/>
      <c r="D62" s="49"/>
      <c r="E62" s="47"/>
      <c r="F62" s="49"/>
      <c r="G62" s="49"/>
      <c r="H62" s="47"/>
      <c r="I62" s="49"/>
      <c r="J62" s="49"/>
      <c r="K62" s="47"/>
      <c r="L62" s="49"/>
      <c r="M62" s="49"/>
      <c r="N62" s="47"/>
      <c r="O62" s="49"/>
      <c r="P62" s="49"/>
      <c r="Q62" s="47"/>
      <c r="R62" s="49"/>
      <c r="S62" s="49"/>
      <c r="T62" s="47"/>
      <c r="U62" s="49"/>
      <c r="V62" s="49"/>
      <c r="W62" s="47"/>
      <c r="X62" s="49"/>
      <c r="Y62" s="49"/>
      <c r="Z62" s="47"/>
      <c r="AA62" s="49"/>
      <c r="AB62" s="49"/>
      <c r="AC62" s="47"/>
      <c r="AD62" s="49"/>
      <c r="AE62" s="49"/>
      <c r="AF62" s="47"/>
      <c r="AG62" s="49"/>
      <c r="AH62" s="49"/>
      <c r="AI62" s="47"/>
      <c r="AJ62" s="49"/>
      <c r="AK62" s="49"/>
      <c r="AL62" s="42"/>
      <c r="AM62" s="43"/>
      <c r="AN62" s="43"/>
      <c r="AO62" s="43"/>
      <c r="AP62" s="43"/>
      <c r="AQ62" s="43"/>
      <c r="AR62" s="43"/>
      <c r="AS62" s="43"/>
      <c r="AT62" s="43"/>
      <c r="AU62" s="43"/>
      <c r="AV62" s="43"/>
    </row>
    <row r="63" spans="1:48" ht="26.25" customHeight="1" x14ac:dyDescent="0.3">
      <c r="A63" s="70" t="s">
        <v>63</v>
      </c>
      <c r="B63" s="47">
        <v>1</v>
      </c>
      <c r="C63" s="41"/>
      <c r="D63" s="41"/>
      <c r="E63" s="47">
        <v>1</v>
      </c>
      <c r="F63" s="41"/>
      <c r="G63" s="41"/>
      <c r="H63" s="47">
        <v>1</v>
      </c>
      <c r="I63" s="41"/>
      <c r="J63" s="41"/>
      <c r="K63" s="47">
        <v>1</v>
      </c>
      <c r="L63" s="41"/>
      <c r="M63" s="41"/>
      <c r="N63" s="47">
        <v>1</v>
      </c>
      <c r="O63" s="41"/>
      <c r="P63" s="41"/>
      <c r="Q63" s="47">
        <v>1</v>
      </c>
      <c r="R63" s="41"/>
      <c r="S63" s="41"/>
      <c r="T63" s="47">
        <v>1</v>
      </c>
      <c r="U63" s="41"/>
      <c r="V63" s="41"/>
      <c r="W63" s="47">
        <v>1</v>
      </c>
      <c r="X63" s="41"/>
      <c r="Y63" s="41"/>
      <c r="Z63" s="47">
        <v>1</v>
      </c>
      <c r="AA63" s="41"/>
      <c r="AB63" s="41"/>
      <c r="AC63" s="47">
        <v>1</v>
      </c>
      <c r="AD63" s="41"/>
      <c r="AE63" s="41"/>
      <c r="AF63" s="47">
        <v>1</v>
      </c>
      <c r="AG63" s="41"/>
      <c r="AH63" s="41"/>
      <c r="AI63" s="47">
        <v>1</v>
      </c>
      <c r="AJ63" s="41"/>
      <c r="AK63" s="41"/>
      <c r="AL63" s="42"/>
      <c r="AM63" s="43"/>
      <c r="AN63" s="43"/>
      <c r="AO63" s="43"/>
      <c r="AP63" s="43"/>
      <c r="AQ63" s="43"/>
      <c r="AR63" s="43"/>
      <c r="AS63" s="43"/>
      <c r="AT63" s="43"/>
      <c r="AU63" s="43"/>
      <c r="AV63" s="43"/>
    </row>
    <row r="64" spans="1:48" ht="26.25" customHeight="1" x14ac:dyDescent="0.3">
      <c r="A64" s="59"/>
      <c r="B64" s="47">
        <v>2</v>
      </c>
      <c r="C64" s="41"/>
      <c r="D64" s="41"/>
      <c r="E64" s="47">
        <v>2</v>
      </c>
      <c r="F64" s="41"/>
      <c r="G64" s="41"/>
      <c r="H64" s="47">
        <v>2</v>
      </c>
      <c r="I64" s="41"/>
      <c r="J64" s="41"/>
      <c r="K64" s="47">
        <v>2</v>
      </c>
      <c r="L64" s="41"/>
      <c r="M64" s="41"/>
      <c r="N64" s="47">
        <v>2</v>
      </c>
      <c r="O64" s="41"/>
      <c r="P64" s="41"/>
      <c r="Q64" s="47">
        <v>2</v>
      </c>
      <c r="R64" s="41"/>
      <c r="S64" s="41"/>
      <c r="T64" s="47">
        <v>2</v>
      </c>
      <c r="U64" s="41"/>
      <c r="V64" s="41"/>
      <c r="W64" s="47">
        <v>2</v>
      </c>
      <c r="X64" s="41"/>
      <c r="Y64" s="41"/>
      <c r="Z64" s="47">
        <v>2</v>
      </c>
      <c r="AA64" s="41"/>
      <c r="AB64" s="41"/>
      <c r="AC64" s="47">
        <v>2</v>
      </c>
      <c r="AD64" s="41"/>
      <c r="AE64" s="41"/>
      <c r="AF64" s="47">
        <v>2</v>
      </c>
      <c r="AG64" s="41"/>
      <c r="AH64" s="41"/>
      <c r="AI64" s="47">
        <v>2</v>
      </c>
      <c r="AJ64" s="41"/>
      <c r="AK64" s="41"/>
      <c r="AL64" s="42"/>
      <c r="AM64" s="43"/>
      <c r="AN64" s="43"/>
      <c r="AO64" s="43"/>
      <c r="AP64" s="43"/>
      <c r="AQ64" s="43"/>
      <c r="AR64" s="43"/>
      <c r="AS64" s="43"/>
      <c r="AT64" s="43"/>
      <c r="AU64" s="43"/>
      <c r="AV64" s="43"/>
    </row>
    <row r="65" spans="1:48" ht="26.25" customHeight="1" x14ac:dyDescent="0.3">
      <c r="A65" s="59"/>
      <c r="B65" s="47">
        <v>3</v>
      </c>
      <c r="C65" s="41"/>
      <c r="D65" s="41"/>
      <c r="E65" s="47">
        <v>3</v>
      </c>
      <c r="F65" s="41"/>
      <c r="G65" s="41"/>
      <c r="H65" s="47">
        <v>3</v>
      </c>
      <c r="I65" s="41"/>
      <c r="J65" s="41"/>
      <c r="K65" s="47">
        <v>3</v>
      </c>
      <c r="L65" s="41"/>
      <c r="M65" s="41"/>
      <c r="N65" s="47">
        <v>3</v>
      </c>
      <c r="O65" s="41"/>
      <c r="P65" s="41"/>
      <c r="Q65" s="47">
        <v>3</v>
      </c>
      <c r="R65" s="41"/>
      <c r="S65" s="41"/>
      <c r="T65" s="47">
        <v>3</v>
      </c>
      <c r="U65" s="41"/>
      <c r="V65" s="41"/>
      <c r="W65" s="47">
        <v>3</v>
      </c>
      <c r="X65" s="41"/>
      <c r="Y65" s="41"/>
      <c r="Z65" s="47">
        <v>3</v>
      </c>
      <c r="AA65" s="41"/>
      <c r="AB65" s="41"/>
      <c r="AC65" s="47">
        <v>3</v>
      </c>
      <c r="AD65" s="41"/>
      <c r="AE65" s="41"/>
      <c r="AF65" s="47">
        <v>3</v>
      </c>
      <c r="AG65" s="41"/>
      <c r="AH65" s="41"/>
      <c r="AI65" s="47">
        <v>3</v>
      </c>
      <c r="AJ65" s="41"/>
      <c r="AK65" s="41"/>
      <c r="AL65" s="42"/>
      <c r="AM65" s="43"/>
      <c r="AN65" s="43"/>
      <c r="AO65" s="43"/>
      <c r="AP65" s="43"/>
      <c r="AQ65" s="43"/>
      <c r="AR65" s="43"/>
      <c r="AS65" s="43"/>
      <c r="AT65" s="43"/>
      <c r="AU65" s="43"/>
      <c r="AV65" s="43"/>
    </row>
    <row r="66" spans="1:48" ht="11.25" customHeight="1" x14ac:dyDescent="0.3">
      <c r="A66" s="48"/>
      <c r="B66" s="47"/>
      <c r="C66" s="49"/>
      <c r="D66" s="49"/>
      <c r="E66" s="47"/>
      <c r="F66" s="49"/>
      <c r="G66" s="49"/>
      <c r="H66" s="47"/>
      <c r="I66" s="49"/>
      <c r="J66" s="49"/>
      <c r="K66" s="47"/>
      <c r="L66" s="49"/>
      <c r="M66" s="49"/>
      <c r="N66" s="47"/>
      <c r="O66" s="49"/>
      <c r="P66" s="49"/>
      <c r="Q66" s="47"/>
      <c r="R66" s="49"/>
      <c r="S66" s="49"/>
      <c r="T66" s="47"/>
      <c r="U66" s="49"/>
      <c r="V66" s="49"/>
      <c r="W66" s="47"/>
      <c r="X66" s="49"/>
      <c r="Y66" s="49"/>
      <c r="Z66" s="47"/>
      <c r="AA66" s="49"/>
      <c r="AB66" s="49"/>
      <c r="AC66" s="47"/>
      <c r="AD66" s="49"/>
      <c r="AE66" s="49"/>
      <c r="AF66" s="47"/>
      <c r="AG66" s="49"/>
      <c r="AH66" s="49"/>
      <c r="AI66" s="47"/>
      <c r="AJ66" s="49"/>
      <c r="AK66" s="49"/>
      <c r="AL66" s="42"/>
      <c r="AM66" s="43"/>
      <c r="AN66" s="43"/>
      <c r="AO66" s="43"/>
      <c r="AP66" s="43"/>
      <c r="AQ66" s="43"/>
      <c r="AR66" s="43"/>
      <c r="AS66" s="43"/>
      <c r="AT66" s="43"/>
      <c r="AU66" s="43"/>
      <c r="AV66" s="43"/>
    </row>
    <row r="67" spans="1:48" ht="26.25" customHeight="1" x14ac:dyDescent="0.3">
      <c r="A67" s="70" t="s">
        <v>64</v>
      </c>
      <c r="B67" s="47">
        <v>1</v>
      </c>
      <c r="C67" s="41"/>
      <c r="D67" s="41"/>
      <c r="E67" s="47">
        <v>1</v>
      </c>
      <c r="F67" s="41"/>
      <c r="G67" s="41"/>
      <c r="H67" s="47">
        <v>1</v>
      </c>
      <c r="I67" s="41"/>
      <c r="J67" s="41"/>
      <c r="K67" s="47">
        <v>1</v>
      </c>
      <c r="L67" s="41"/>
      <c r="M67" s="41"/>
      <c r="N67" s="47">
        <v>1</v>
      </c>
      <c r="O67" s="41"/>
      <c r="P67" s="41"/>
      <c r="Q67" s="47">
        <v>1</v>
      </c>
      <c r="R67" s="41"/>
      <c r="S67" s="41"/>
      <c r="T67" s="47">
        <v>1</v>
      </c>
      <c r="U67" s="41"/>
      <c r="V67" s="41"/>
      <c r="W67" s="47">
        <v>1</v>
      </c>
      <c r="X67" s="41"/>
      <c r="Y67" s="41"/>
      <c r="Z67" s="47">
        <v>1</v>
      </c>
      <c r="AA67" s="41"/>
      <c r="AB67" s="41"/>
      <c r="AC67" s="47">
        <v>1</v>
      </c>
      <c r="AD67" s="41"/>
      <c r="AE67" s="41"/>
      <c r="AF67" s="47">
        <v>1</v>
      </c>
      <c r="AG67" s="41"/>
      <c r="AH67" s="41"/>
      <c r="AI67" s="47">
        <v>1</v>
      </c>
      <c r="AJ67" s="41"/>
      <c r="AK67" s="41"/>
      <c r="AL67" s="42"/>
      <c r="AM67" s="43"/>
      <c r="AN67" s="43"/>
      <c r="AO67" s="43"/>
      <c r="AP67" s="43"/>
      <c r="AQ67" s="43"/>
      <c r="AR67" s="43"/>
      <c r="AS67" s="43"/>
      <c r="AT67" s="43"/>
      <c r="AU67" s="43"/>
      <c r="AV67" s="43"/>
    </row>
    <row r="68" spans="1:48" ht="26.25" customHeight="1" x14ac:dyDescent="0.3">
      <c r="A68" s="59"/>
      <c r="B68" s="47">
        <v>2</v>
      </c>
      <c r="C68" s="41"/>
      <c r="D68" s="41"/>
      <c r="E68" s="47">
        <v>2</v>
      </c>
      <c r="F68" s="41"/>
      <c r="G68" s="41"/>
      <c r="H68" s="47">
        <v>2</v>
      </c>
      <c r="I68" s="41"/>
      <c r="J68" s="41"/>
      <c r="K68" s="47">
        <v>2</v>
      </c>
      <c r="L68" s="41"/>
      <c r="M68" s="41"/>
      <c r="N68" s="47">
        <v>2</v>
      </c>
      <c r="O68" s="41"/>
      <c r="P68" s="41"/>
      <c r="Q68" s="47">
        <v>2</v>
      </c>
      <c r="R68" s="41"/>
      <c r="S68" s="41"/>
      <c r="T68" s="47">
        <v>2</v>
      </c>
      <c r="U68" s="41"/>
      <c r="V68" s="41"/>
      <c r="W68" s="47">
        <v>2</v>
      </c>
      <c r="X68" s="41"/>
      <c r="Y68" s="41"/>
      <c r="Z68" s="47">
        <v>2</v>
      </c>
      <c r="AA68" s="41"/>
      <c r="AB68" s="41"/>
      <c r="AC68" s="47">
        <v>2</v>
      </c>
      <c r="AD68" s="41"/>
      <c r="AE68" s="41"/>
      <c r="AF68" s="47">
        <v>2</v>
      </c>
      <c r="AG68" s="41"/>
      <c r="AH68" s="41"/>
      <c r="AI68" s="47">
        <v>2</v>
      </c>
      <c r="AJ68" s="41"/>
      <c r="AK68" s="41"/>
      <c r="AL68" s="42"/>
      <c r="AM68" s="43"/>
      <c r="AN68" s="43"/>
      <c r="AO68" s="43"/>
      <c r="AP68" s="43"/>
      <c r="AQ68" s="43"/>
      <c r="AR68" s="43"/>
      <c r="AS68" s="43"/>
      <c r="AT68" s="43"/>
      <c r="AU68" s="43"/>
      <c r="AV68" s="43"/>
    </row>
    <row r="69" spans="1:48" ht="26.25" customHeight="1" x14ac:dyDescent="0.3">
      <c r="A69" s="59"/>
      <c r="B69" s="47">
        <v>3</v>
      </c>
      <c r="C69" s="41"/>
      <c r="D69" s="41"/>
      <c r="E69" s="47">
        <v>3</v>
      </c>
      <c r="F69" s="41"/>
      <c r="G69" s="41"/>
      <c r="H69" s="47">
        <v>3</v>
      </c>
      <c r="I69" s="41"/>
      <c r="J69" s="41"/>
      <c r="K69" s="47">
        <v>3</v>
      </c>
      <c r="L69" s="41"/>
      <c r="M69" s="41"/>
      <c r="N69" s="47">
        <v>3</v>
      </c>
      <c r="O69" s="41"/>
      <c r="P69" s="41"/>
      <c r="Q69" s="47">
        <v>3</v>
      </c>
      <c r="R69" s="41"/>
      <c r="S69" s="41"/>
      <c r="T69" s="47">
        <v>3</v>
      </c>
      <c r="U69" s="41"/>
      <c r="V69" s="41"/>
      <c r="W69" s="47">
        <v>3</v>
      </c>
      <c r="X69" s="41"/>
      <c r="Y69" s="41"/>
      <c r="Z69" s="47">
        <v>3</v>
      </c>
      <c r="AA69" s="41"/>
      <c r="AB69" s="41"/>
      <c r="AC69" s="47">
        <v>3</v>
      </c>
      <c r="AD69" s="41"/>
      <c r="AE69" s="41"/>
      <c r="AF69" s="47">
        <v>3</v>
      </c>
      <c r="AG69" s="41"/>
      <c r="AH69" s="41"/>
      <c r="AI69" s="47">
        <v>3</v>
      </c>
      <c r="AJ69" s="41"/>
      <c r="AK69" s="41"/>
      <c r="AL69" s="42"/>
      <c r="AM69" s="43"/>
      <c r="AN69" s="43"/>
      <c r="AO69" s="43"/>
      <c r="AP69" s="43"/>
      <c r="AQ69" s="43"/>
      <c r="AR69" s="43"/>
      <c r="AS69" s="43"/>
      <c r="AT69" s="43"/>
      <c r="AU69" s="43"/>
      <c r="AV69" s="43"/>
    </row>
    <row r="70" spans="1:48" ht="11.25" customHeight="1" x14ac:dyDescent="0.3">
      <c r="A70" s="48"/>
      <c r="B70" s="47"/>
      <c r="C70" s="49"/>
      <c r="D70" s="49"/>
      <c r="E70" s="47"/>
      <c r="F70" s="49"/>
      <c r="G70" s="49"/>
      <c r="H70" s="47"/>
      <c r="I70" s="49"/>
      <c r="J70" s="49"/>
      <c r="K70" s="47"/>
      <c r="L70" s="49"/>
      <c r="M70" s="49"/>
      <c r="N70" s="47"/>
      <c r="O70" s="49"/>
      <c r="P70" s="49"/>
      <c r="Q70" s="47"/>
      <c r="R70" s="49"/>
      <c r="S70" s="49"/>
      <c r="T70" s="47"/>
      <c r="U70" s="49"/>
      <c r="V70" s="49"/>
      <c r="W70" s="47"/>
      <c r="X70" s="49"/>
      <c r="Y70" s="49"/>
      <c r="Z70" s="47"/>
      <c r="AA70" s="49"/>
      <c r="AB70" s="49"/>
      <c r="AC70" s="47"/>
      <c r="AD70" s="49"/>
      <c r="AE70" s="49"/>
      <c r="AF70" s="47"/>
      <c r="AG70" s="49"/>
      <c r="AH70" s="49"/>
      <c r="AI70" s="47"/>
      <c r="AJ70" s="49"/>
      <c r="AK70" s="49"/>
      <c r="AL70" s="42"/>
      <c r="AM70" s="43"/>
      <c r="AN70" s="43"/>
      <c r="AO70" s="43"/>
      <c r="AP70" s="43"/>
      <c r="AQ70" s="43"/>
      <c r="AR70" s="43"/>
      <c r="AS70" s="43"/>
      <c r="AT70" s="43"/>
      <c r="AU70" s="43"/>
      <c r="AV70" s="43"/>
    </row>
    <row r="71" spans="1:48" ht="26.25" customHeight="1" x14ac:dyDescent="0.3">
      <c r="A71" s="70" t="s">
        <v>65</v>
      </c>
      <c r="B71" s="47">
        <v>1</v>
      </c>
      <c r="C71" s="41"/>
      <c r="D71" s="41"/>
      <c r="E71" s="47">
        <v>1</v>
      </c>
      <c r="F71" s="41"/>
      <c r="G71" s="41"/>
      <c r="H71" s="47">
        <v>1</v>
      </c>
      <c r="I71" s="41"/>
      <c r="J71" s="41"/>
      <c r="K71" s="47">
        <v>1</v>
      </c>
      <c r="L71" s="41"/>
      <c r="M71" s="41"/>
      <c r="N71" s="47">
        <v>1</v>
      </c>
      <c r="O71" s="41"/>
      <c r="P71" s="41"/>
      <c r="Q71" s="47">
        <v>1</v>
      </c>
      <c r="R71" s="41"/>
      <c r="S71" s="41"/>
      <c r="T71" s="47">
        <v>1</v>
      </c>
      <c r="U71" s="41"/>
      <c r="V71" s="41"/>
      <c r="W71" s="47">
        <v>1</v>
      </c>
      <c r="X71" s="41"/>
      <c r="Y71" s="41"/>
      <c r="Z71" s="47">
        <v>1</v>
      </c>
      <c r="AA71" s="41"/>
      <c r="AB71" s="41"/>
      <c r="AC71" s="47">
        <v>1</v>
      </c>
      <c r="AD71" s="41"/>
      <c r="AE71" s="41"/>
      <c r="AF71" s="47">
        <v>1</v>
      </c>
      <c r="AG71" s="41"/>
      <c r="AH71" s="41"/>
      <c r="AI71" s="47">
        <v>1</v>
      </c>
      <c r="AJ71" s="41"/>
      <c r="AK71" s="41"/>
      <c r="AL71" s="42"/>
      <c r="AM71" s="43"/>
      <c r="AN71" s="43"/>
      <c r="AO71" s="43"/>
      <c r="AP71" s="43"/>
      <c r="AQ71" s="43"/>
      <c r="AR71" s="43"/>
      <c r="AS71" s="43"/>
      <c r="AT71" s="43"/>
      <c r="AU71" s="43"/>
      <c r="AV71" s="43"/>
    </row>
    <row r="72" spans="1:48" ht="26.25" customHeight="1" x14ac:dyDescent="0.3">
      <c r="A72" s="59"/>
      <c r="B72" s="47">
        <v>2</v>
      </c>
      <c r="C72" s="41"/>
      <c r="D72" s="41"/>
      <c r="E72" s="47">
        <v>2</v>
      </c>
      <c r="F72" s="41"/>
      <c r="G72" s="41"/>
      <c r="H72" s="47">
        <v>2</v>
      </c>
      <c r="I72" s="41"/>
      <c r="J72" s="41"/>
      <c r="K72" s="47">
        <v>2</v>
      </c>
      <c r="L72" s="41"/>
      <c r="M72" s="41"/>
      <c r="N72" s="47">
        <v>2</v>
      </c>
      <c r="O72" s="41"/>
      <c r="P72" s="41"/>
      <c r="Q72" s="47">
        <v>2</v>
      </c>
      <c r="R72" s="41"/>
      <c r="S72" s="41"/>
      <c r="T72" s="47">
        <v>2</v>
      </c>
      <c r="U72" s="41"/>
      <c r="V72" s="41"/>
      <c r="W72" s="47">
        <v>2</v>
      </c>
      <c r="X72" s="41"/>
      <c r="Y72" s="41"/>
      <c r="Z72" s="47">
        <v>2</v>
      </c>
      <c r="AA72" s="41"/>
      <c r="AB72" s="41"/>
      <c r="AC72" s="47">
        <v>2</v>
      </c>
      <c r="AD72" s="41"/>
      <c r="AE72" s="41"/>
      <c r="AF72" s="47">
        <v>2</v>
      </c>
      <c r="AG72" s="41"/>
      <c r="AH72" s="41"/>
      <c r="AI72" s="47">
        <v>2</v>
      </c>
      <c r="AJ72" s="41"/>
      <c r="AK72" s="41"/>
      <c r="AL72" s="42"/>
      <c r="AM72" s="43"/>
      <c r="AN72" s="43"/>
      <c r="AO72" s="43"/>
      <c r="AP72" s="43"/>
      <c r="AQ72" s="43"/>
      <c r="AR72" s="43"/>
      <c r="AS72" s="43"/>
      <c r="AT72" s="43"/>
      <c r="AU72" s="43"/>
      <c r="AV72" s="43"/>
    </row>
    <row r="73" spans="1:48" ht="26.25" customHeight="1" x14ac:dyDescent="0.3">
      <c r="A73" s="59"/>
      <c r="B73" s="47">
        <v>3</v>
      </c>
      <c r="C73" s="41"/>
      <c r="D73" s="41"/>
      <c r="E73" s="47">
        <v>3</v>
      </c>
      <c r="F73" s="41"/>
      <c r="G73" s="41"/>
      <c r="H73" s="47">
        <v>3</v>
      </c>
      <c r="I73" s="41"/>
      <c r="J73" s="41"/>
      <c r="K73" s="47">
        <v>3</v>
      </c>
      <c r="L73" s="41"/>
      <c r="M73" s="41"/>
      <c r="N73" s="47">
        <v>3</v>
      </c>
      <c r="O73" s="41"/>
      <c r="P73" s="41"/>
      <c r="Q73" s="47">
        <v>3</v>
      </c>
      <c r="R73" s="41"/>
      <c r="S73" s="41"/>
      <c r="T73" s="47">
        <v>3</v>
      </c>
      <c r="U73" s="41"/>
      <c r="V73" s="41"/>
      <c r="W73" s="47">
        <v>3</v>
      </c>
      <c r="X73" s="41"/>
      <c r="Y73" s="41"/>
      <c r="Z73" s="47">
        <v>3</v>
      </c>
      <c r="AA73" s="41"/>
      <c r="AB73" s="41"/>
      <c r="AC73" s="47">
        <v>3</v>
      </c>
      <c r="AD73" s="41"/>
      <c r="AE73" s="41"/>
      <c r="AF73" s="47">
        <v>3</v>
      </c>
      <c r="AG73" s="41"/>
      <c r="AH73" s="41"/>
      <c r="AI73" s="47">
        <v>3</v>
      </c>
      <c r="AJ73" s="41"/>
      <c r="AK73" s="41"/>
      <c r="AL73" s="42"/>
      <c r="AM73" s="43"/>
      <c r="AN73" s="43"/>
      <c r="AO73" s="43"/>
      <c r="AP73" s="43"/>
      <c r="AQ73" s="43"/>
      <c r="AR73" s="43"/>
      <c r="AS73" s="43"/>
      <c r="AT73" s="43"/>
      <c r="AU73" s="43"/>
      <c r="AV73" s="43"/>
    </row>
    <row r="74" spans="1:48" ht="11.25" customHeight="1" x14ac:dyDescent="0.3">
      <c r="A74" s="48"/>
      <c r="B74" s="47"/>
      <c r="C74" s="49"/>
      <c r="D74" s="49"/>
      <c r="E74" s="47"/>
      <c r="F74" s="49"/>
      <c r="G74" s="49"/>
      <c r="H74" s="47"/>
      <c r="I74" s="49"/>
      <c r="J74" s="49"/>
      <c r="K74" s="47"/>
      <c r="L74" s="49"/>
      <c r="M74" s="49"/>
      <c r="N74" s="47"/>
      <c r="O74" s="49"/>
      <c r="P74" s="49"/>
      <c r="Q74" s="47"/>
      <c r="R74" s="49"/>
      <c r="S74" s="49"/>
      <c r="T74" s="47"/>
      <c r="U74" s="49"/>
      <c r="V74" s="49"/>
      <c r="W74" s="47"/>
      <c r="X74" s="49"/>
      <c r="Y74" s="49"/>
      <c r="Z74" s="47"/>
      <c r="AA74" s="49"/>
      <c r="AB74" s="49"/>
      <c r="AC74" s="47"/>
      <c r="AD74" s="49"/>
      <c r="AE74" s="49"/>
      <c r="AF74" s="47"/>
      <c r="AG74" s="49"/>
      <c r="AH74" s="49"/>
      <c r="AI74" s="47"/>
      <c r="AJ74" s="49"/>
      <c r="AK74" s="49"/>
      <c r="AL74" s="42"/>
      <c r="AM74" s="43"/>
      <c r="AN74" s="43"/>
      <c r="AO74" s="43"/>
      <c r="AP74" s="43"/>
      <c r="AQ74" s="43"/>
      <c r="AR74" s="43"/>
      <c r="AS74" s="43"/>
      <c r="AT74" s="43"/>
      <c r="AU74" s="43"/>
      <c r="AV74" s="43"/>
    </row>
    <row r="75" spans="1:48" ht="26.25" customHeight="1" x14ac:dyDescent="0.3">
      <c r="A75" s="70" t="s">
        <v>66</v>
      </c>
      <c r="B75" s="47">
        <v>1</v>
      </c>
      <c r="C75" s="41"/>
      <c r="D75" s="41"/>
      <c r="E75" s="47">
        <v>1</v>
      </c>
      <c r="F75" s="41"/>
      <c r="G75" s="41"/>
      <c r="H75" s="47">
        <v>1</v>
      </c>
      <c r="I75" s="41"/>
      <c r="J75" s="41"/>
      <c r="K75" s="47">
        <v>1</v>
      </c>
      <c r="L75" s="41"/>
      <c r="M75" s="41"/>
      <c r="N75" s="47">
        <v>1</v>
      </c>
      <c r="O75" s="41"/>
      <c r="P75" s="41"/>
      <c r="Q75" s="47">
        <v>1</v>
      </c>
      <c r="R75" s="41"/>
      <c r="S75" s="41"/>
      <c r="T75" s="47">
        <v>1</v>
      </c>
      <c r="U75" s="41"/>
      <c r="V75" s="41"/>
      <c r="W75" s="47">
        <v>1</v>
      </c>
      <c r="X75" s="41"/>
      <c r="Y75" s="41"/>
      <c r="Z75" s="47">
        <v>1</v>
      </c>
      <c r="AA75" s="41"/>
      <c r="AB75" s="41"/>
      <c r="AC75" s="47">
        <v>1</v>
      </c>
      <c r="AD75" s="41"/>
      <c r="AE75" s="41"/>
      <c r="AF75" s="47">
        <v>1</v>
      </c>
      <c r="AG75" s="41"/>
      <c r="AH75" s="41"/>
      <c r="AI75" s="47">
        <v>1</v>
      </c>
      <c r="AJ75" s="41"/>
      <c r="AK75" s="41"/>
      <c r="AL75" s="42"/>
      <c r="AM75" s="43"/>
      <c r="AN75" s="43"/>
      <c r="AO75" s="43"/>
      <c r="AP75" s="43"/>
      <c r="AQ75" s="43"/>
      <c r="AR75" s="43"/>
      <c r="AS75" s="43"/>
      <c r="AT75" s="43"/>
      <c r="AU75" s="43"/>
      <c r="AV75" s="43"/>
    </row>
    <row r="76" spans="1:48" ht="26.25" customHeight="1" x14ac:dyDescent="0.3">
      <c r="A76" s="59"/>
      <c r="B76" s="47">
        <v>2</v>
      </c>
      <c r="C76" s="41"/>
      <c r="D76" s="41"/>
      <c r="E76" s="47">
        <v>2</v>
      </c>
      <c r="F76" s="41"/>
      <c r="G76" s="41"/>
      <c r="H76" s="47">
        <v>2</v>
      </c>
      <c r="I76" s="41"/>
      <c r="J76" s="41"/>
      <c r="K76" s="47">
        <v>2</v>
      </c>
      <c r="L76" s="41"/>
      <c r="M76" s="41"/>
      <c r="N76" s="47">
        <v>2</v>
      </c>
      <c r="O76" s="41"/>
      <c r="P76" s="41"/>
      <c r="Q76" s="47">
        <v>2</v>
      </c>
      <c r="R76" s="41"/>
      <c r="S76" s="41"/>
      <c r="T76" s="47">
        <v>2</v>
      </c>
      <c r="U76" s="41"/>
      <c r="V76" s="41"/>
      <c r="W76" s="47">
        <v>2</v>
      </c>
      <c r="X76" s="41"/>
      <c r="Y76" s="41"/>
      <c r="Z76" s="47">
        <v>2</v>
      </c>
      <c r="AA76" s="41"/>
      <c r="AB76" s="41"/>
      <c r="AC76" s="47">
        <v>2</v>
      </c>
      <c r="AD76" s="41"/>
      <c r="AE76" s="41"/>
      <c r="AF76" s="47">
        <v>2</v>
      </c>
      <c r="AG76" s="41"/>
      <c r="AH76" s="41"/>
      <c r="AI76" s="47">
        <v>2</v>
      </c>
      <c r="AJ76" s="41"/>
      <c r="AK76" s="41"/>
      <c r="AL76" s="42"/>
      <c r="AM76" s="43"/>
      <c r="AN76" s="43"/>
      <c r="AO76" s="43"/>
      <c r="AP76" s="43"/>
      <c r="AQ76" s="43"/>
      <c r="AR76" s="43"/>
      <c r="AS76" s="43"/>
      <c r="AT76" s="43"/>
      <c r="AU76" s="43"/>
      <c r="AV76" s="43"/>
    </row>
    <row r="77" spans="1:48" ht="26.25" customHeight="1" x14ac:dyDescent="0.3">
      <c r="A77" s="59"/>
      <c r="B77" s="47">
        <v>3</v>
      </c>
      <c r="C77" s="41"/>
      <c r="D77" s="41"/>
      <c r="E77" s="47">
        <v>3</v>
      </c>
      <c r="F77" s="41"/>
      <c r="G77" s="41"/>
      <c r="H77" s="47">
        <v>3</v>
      </c>
      <c r="I77" s="41"/>
      <c r="J77" s="41"/>
      <c r="K77" s="47">
        <v>3</v>
      </c>
      <c r="L77" s="41"/>
      <c r="M77" s="41"/>
      <c r="N77" s="47">
        <v>3</v>
      </c>
      <c r="O77" s="41"/>
      <c r="P77" s="41"/>
      <c r="Q77" s="47">
        <v>3</v>
      </c>
      <c r="R77" s="41"/>
      <c r="S77" s="41"/>
      <c r="T77" s="47">
        <v>3</v>
      </c>
      <c r="U77" s="41"/>
      <c r="V77" s="41"/>
      <c r="W77" s="47">
        <v>3</v>
      </c>
      <c r="X77" s="41"/>
      <c r="Y77" s="41"/>
      <c r="Z77" s="47">
        <v>3</v>
      </c>
      <c r="AA77" s="41"/>
      <c r="AB77" s="41"/>
      <c r="AC77" s="47">
        <v>3</v>
      </c>
      <c r="AD77" s="41"/>
      <c r="AE77" s="41"/>
      <c r="AF77" s="47">
        <v>3</v>
      </c>
      <c r="AG77" s="41"/>
      <c r="AH77" s="41"/>
      <c r="AI77" s="47">
        <v>3</v>
      </c>
      <c r="AJ77" s="41"/>
      <c r="AK77" s="41"/>
      <c r="AL77" s="42"/>
      <c r="AM77" s="43"/>
      <c r="AN77" s="43"/>
      <c r="AO77" s="43"/>
      <c r="AP77" s="43"/>
      <c r="AQ77" s="43"/>
      <c r="AR77" s="43"/>
      <c r="AS77" s="43"/>
      <c r="AT77" s="43"/>
      <c r="AU77" s="43"/>
      <c r="AV77" s="43"/>
    </row>
    <row r="78" spans="1:48" ht="11.25" customHeight="1" x14ac:dyDescent="0.3">
      <c r="A78" s="48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2"/>
      <c r="AM78" s="43"/>
      <c r="AN78" s="43"/>
      <c r="AO78" s="43"/>
      <c r="AP78" s="43"/>
      <c r="AQ78" s="43"/>
      <c r="AR78" s="43"/>
      <c r="AS78" s="43"/>
      <c r="AT78" s="43"/>
      <c r="AU78" s="43"/>
      <c r="AV78" s="43"/>
    </row>
    <row r="79" spans="1:48" ht="15.7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</row>
    <row r="80" spans="1:48" ht="15.75" customHeight="1" x14ac:dyDescent="0.3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2"/>
      <c r="AM80" s="43"/>
      <c r="AN80" s="43"/>
      <c r="AO80" s="43"/>
      <c r="AP80" s="43"/>
      <c r="AQ80" s="43"/>
      <c r="AR80" s="43"/>
      <c r="AS80" s="43"/>
      <c r="AT80" s="43"/>
      <c r="AU80" s="43"/>
      <c r="AV80" s="43"/>
    </row>
    <row r="81" spans="1:48" ht="15.75" customHeight="1" x14ac:dyDescent="0.3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2"/>
      <c r="AM81" s="43"/>
      <c r="AN81" s="43"/>
      <c r="AO81" s="43"/>
      <c r="AP81" s="43"/>
      <c r="AQ81" s="43"/>
      <c r="AR81" s="43"/>
      <c r="AS81" s="43"/>
      <c r="AT81" s="43"/>
      <c r="AU81" s="43"/>
      <c r="AV81" s="43"/>
    </row>
    <row r="82" spans="1:48" ht="15.75" customHeight="1" x14ac:dyDescent="0.3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2"/>
      <c r="AM82" s="43"/>
      <c r="AN82" s="43"/>
      <c r="AO82" s="43"/>
      <c r="AP82" s="43"/>
      <c r="AQ82" s="43"/>
      <c r="AR82" s="43"/>
      <c r="AS82" s="43"/>
      <c r="AT82" s="43"/>
      <c r="AU82" s="43"/>
      <c r="AV82" s="43"/>
    </row>
    <row r="83" spans="1:48" ht="15.75" customHeight="1" x14ac:dyDescent="0.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2"/>
      <c r="AM83" s="43"/>
      <c r="AN83" s="43"/>
      <c r="AO83" s="43"/>
      <c r="AP83" s="43"/>
      <c r="AQ83" s="43"/>
      <c r="AR83" s="43"/>
      <c r="AS83" s="43"/>
      <c r="AT83" s="43"/>
      <c r="AU83" s="43"/>
      <c r="AV83" s="43"/>
    </row>
    <row r="84" spans="1:48" ht="15.75" customHeight="1" x14ac:dyDescent="0.3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2"/>
      <c r="AM84" s="43"/>
      <c r="AN84" s="43"/>
      <c r="AO84" s="43"/>
      <c r="AP84" s="43"/>
      <c r="AQ84" s="43"/>
      <c r="AR84" s="43"/>
      <c r="AS84" s="43"/>
      <c r="AT84" s="43"/>
      <c r="AU84" s="43"/>
      <c r="AV84" s="43"/>
    </row>
    <row r="85" spans="1:48" ht="15.75" customHeight="1" x14ac:dyDescent="0.3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2"/>
      <c r="AM85" s="43"/>
      <c r="AN85" s="43"/>
      <c r="AO85" s="43"/>
      <c r="AP85" s="43"/>
      <c r="AQ85" s="43"/>
      <c r="AR85" s="43"/>
      <c r="AS85" s="43"/>
      <c r="AT85" s="43"/>
      <c r="AU85" s="43"/>
      <c r="AV85" s="43"/>
    </row>
    <row r="86" spans="1:48" ht="15.75" customHeight="1" x14ac:dyDescent="0.3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2"/>
      <c r="AM86" s="43"/>
      <c r="AN86" s="43"/>
      <c r="AO86" s="43"/>
      <c r="AP86" s="43"/>
      <c r="AQ86" s="43"/>
      <c r="AR86" s="43"/>
      <c r="AS86" s="43"/>
      <c r="AT86" s="43"/>
      <c r="AU86" s="43"/>
      <c r="AV86" s="43"/>
    </row>
    <row r="87" spans="1:48" ht="15.75" customHeight="1" x14ac:dyDescent="0.3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2"/>
      <c r="AM87" s="43"/>
      <c r="AN87" s="43"/>
      <c r="AO87" s="43"/>
      <c r="AP87" s="43"/>
      <c r="AQ87" s="43"/>
      <c r="AR87" s="43"/>
      <c r="AS87" s="43"/>
      <c r="AT87" s="43"/>
      <c r="AU87" s="43"/>
      <c r="AV87" s="43"/>
    </row>
    <row r="88" spans="1:48" ht="15.75" customHeight="1" x14ac:dyDescent="0.3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2"/>
      <c r="AM88" s="43"/>
      <c r="AN88" s="43"/>
      <c r="AO88" s="43"/>
      <c r="AP88" s="43"/>
      <c r="AQ88" s="43"/>
      <c r="AR88" s="43"/>
      <c r="AS88" s="43"/>
      <c r="AT88" s="43"/>
      <c r="AU88" s="43"/>
      <c r="AV88" s="43"/>
    </row>
    <row r="89" spans="1:48" ht="15.75" customHeight="1" x14ac:dyDescent="0.3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2"/>
      <c r="AM89" s="43"/>
      <c r="AN89" s="43"/>
      <c r="AO89" s="43"/>
      <c r="AP89" s="43"/>
      <c r="AQ89" s="43"/>
      <c r="AR89" s="43"/>
      <c r="AS89" s="43"/>
      <c r="AT89" s="43"/>
      <c r="AU89" s="43"/>
      <c r="AV89" s="43"/>
    </row>
    <row r="90" spans="1:48" ht="15.75" customHeight="1" x14ac:dyDescent="0.3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2"/>
      <c r="AM90" s="43"/>
      <c r="AN90" s="43"/>
      <c r="AO90" s="43"/>
      <c r="AP90" s="43"/>
      <c r="AQ90" s="43"/>
      <c r="AR90" s="43"/>
      <c r="AS90" s="43"/>
      <c r="AT90" s="43"/>
      <c r="AU90" s="43"/>
      <c r="AV90" s="43"/>
    </row>
    <row r="91" spans="1:48" ht="15.75" customHeight="1" x14ac:dyDescent="0.3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2"/>
      <c r="AM91" s="43"/>
      <c r="AN91" s="43"/>
      <c r="AO91" s="43"/>
      <c r="AP91" s="43"/>
      <c r="AQ91" s="43"/>
      <c r="AR91" s="43"/>
      <c r="AS91" s="43"/>
      <c r="AT91" s="43"/>
      <c r="AU91" s="43"/>
      <c r="AV91" s="43"/>
    </row>
    <row r="92" spans="1:48" ht="15.75" customHeight="1" x14ac:dyDescent="0.3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2"/>
      <c r="AM92" s="43"/>
      <c r="AN92" s="43"/>
      <c r="AO92" s="43"/>
      <c r="AP92" s="43"/>
      <c r="AQ92" s="43"/>
      <c r="AR92" s="43"/>
      <c r="AS92" s="43"/>
      <c r="AT92" s="43"/>
      <c r="AU92" s="43"/>
      <c r="AV92" s="43"/>
    </row>
    <row r="93" spans="1:48" ht="15.75" customHeight="1" x14ac:dyDescent="0.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2"/>
      <c r="AM93" s="43"/>
      <c r="AN93" s="43"/>
      <c r="AO93" s="43"/>
      <c r="AP93" s="43"/>
      <c r="AQ93" s="43"/>
      <c r="AR93" s="43"/>
      <c r="AS93" s="43"/>
      <c r="AT93" s="43"/>
      <c r="AU93" s="43"/>
      <c r="AV93" s="43"/>
    </row>
    <row r="94" spans="1:48" ht="15.75" customHeight="1" x14ac:dyDescent="0.3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2"/>
      <c r="AM94" s="43"/>
      <c r="AN94" s="43"/>
      <c r="AO94" s="43"/>
      <c r="AP94" s="43"/>
      <c r="AQ94" s="43"/>
      <c r="AR94" s="43"/>
      <c r="AS94" s="43"/>
      <c r="AT94" s="43"/>
      <c r="AU94" s="43"/>
      <c r="AV94" s="43"/>
    </row>
    <row r="95" spans="1:48" ht="15.75" customHeight="1" x14ac:dyDescent="0.3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2"/>
      <c r="AM95" s="43"/>
      <c r="AN95" s="43"/>
      <c r="AO95" s="43"/>
      <c r="AP95" s="43"/>
      <c r="AQ95" s="43"/>
      <c r="AR95" s="43"/>
      <c r="AS95" s="43"/>
      <c r="AT95" s="43"/>
      <c r="AU95" s="43"/>
      <c r="AV95" s="43"/>
    </row>
    <row r="96" spans="1:48" ht="15.75" customHeight="1" x14ac:dyDescent="0.3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2"/>
      <c r="AM96" s="43"/>
      <c r="AN96" s="43"/>
      <c r="AO96" s="43"/>
      <c r="AP96" s="43"/>
      <c r="AQ96" s="43"/>
      <c r="AR96" s="43"/>
      <c r="AS96" s="43"/>
      <c r="AT96" s="43"/>
      <c r="AU96" s="43"/>
      <c r="AV96" s="43"/>
    </row>
    <row r="97" spans="1:48" ht="15.75" customHeight="1" x14ac:dyDescent="0.3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2"/>
      <c r="AM97" s="43"/>
      <c r="AN97" s="43"/>
      <c r="AO97" s="43"/>
      <c r="AP97" s="43"/>
      <c r="AQ97" s="43"/>
      <c r="AR97" s="43"/>
      <c r="AS97" s="43"/>
      <c r="AT97" s="43"/>
      <c r="AU97" s="43"/>
      <c r="AV97" s="43"/>
    </row>
    <row r="98" spans="1:48" ht="15.75" customHeight="1" x14ac:dyDescent="0.3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2"/>
      <c r="AM98" s="43"/>
      <c r="AN98" s="43"/>
      <c r="AO98" s="43"/>
      <c r="AP98" s="43"/>
      <c r="AQ98" s="43"/>
      <c r="AR98" s="43"/>
      <c r="AS98" s="43"/>
      <c r="AT98" s="43"/>
      <c r="AU98" s="43"/>
      <c r="AV98" s="43"/>
    </row>
    <row r="99" spans="1:48" ht="15.75" customHeight="1" x14ac:dyDescent="0.3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2"/>
      <c r="AM99" s="43"/>
      <c r="AN99" s="43"/>
      <c r="AO99" s="43"/>
      <c r="AP99" s="43"/>
      <c r="AQ99" s="43"/>
      <c r="AR99" s="43"/>
      <c r="AS99" s="43"/>
      <c r="AT99" s="43"/>
      <c r="AU99" s="43"/>
      <c r="AV99" s="43"/>
    </row>
    <row r="100" spans="1:48" ht="15.75" customHeight="1" x14ac:dyDescent="0.3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2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</row>
    <row r="101" spans="1:48" ht="15.75" customHeight="1" x14ac:dyDescent="0.3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2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</row>
    <row r="102" spans="1:48" ht="15.75" customHeight="1" x14ac:dyDescent="0.3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2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</row>
    <row r="103" spans="1:48" ht="15.75" customHeight="1" x14ac:dyDescent="0.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2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</row>
    <row r="104" spans="1:48" ht="15.75" customHeight="1" x14ac:dyDescent="0.3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2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</row>
    <row r="105" spans="1:48" ht="15.75" customHeight="1" x14ac:dyDescent="0.3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2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</row>
    <row r="106" spans="1:48" ht="15.75" customHeight="1" x14ac:dyDescent="0.3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2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</row>
    <row r="107" spans="1:48" ht="15.75" customHeight="1" x14ac:dyDescent="0.3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2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</row>
    <row r="108" spans="1:48" ht="15.75" customHeight="1" x14ac:dyDescent="0.3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2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</row>
    <row r="109" spans="1:48" ht="15.75" customHeight="1" x14ac:dyDescent="0.3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2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</row>
    <row r="110" spans="1:48" ht="15.75" customHeight="1" x14ac:dyDescent="0.3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2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</row>
    <row r="111" spans="1:48" ht="15.75" customHeight="1" x14ac:dyDescent="0.3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2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</row>
    <row r="112" spans="1:48" ht="15.75" customHeight="1" x14ac:dyDescent="0.3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2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</row>
    <row r="113" spans="1:48" ht="15.75" customHeight="1" x14ac:dyDescent="0.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2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</row>
    <row r="114" spans="1:48" ht="15.75" customHeight="1" x14ac:dyDescent="0.3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2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</row>
    <row r="115" spans="1:48" ht="15.75" customHeight="1" x14ac:dyDescent="0.3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2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</row>
    <row r="116" spans="1:48" ht="15.75" customHeight="1" x14ac:dyDescent="0.3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2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</row>
    <row r="117" spans="1:48" ht="15.75" customHeight="1" x14ac:dyDescent="0.3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2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</row>
    <row r="118" spans="1:48" ht="15.75" customHeight="1" x14ac:dyDescent="0.3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40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</row>
    <row r="119" spans="1:48" ht="15.75" customHeight="1" x14ac:dyDescent="0.3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40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</row>
    <row r="120" spans="1:48" ht="15.75" customHeight="1" x14ac:dyDescent="0.3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40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</row>
    <row r="121" spans="1:48" ht="15.75" customHeight="1" x14ac:dyDescent="0.3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40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</row>
    <row r="122" spans="1:48" ht="15.75" customHeight="1" x14ac:dyDescent="0.3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40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</row>
    <row r="123" spans="1:48" ht="15.75" customHeight="1" x14ac:dyDescent="0.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40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</row>
    <row r="124" spans="1:48" ht="15.75" customHeight="1" x14ac:dyDescent="0.3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40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</row>
    <row r="125" spans="1:48" ht="15.75" customHeight="1" x14ac:dyDescent="0.3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40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</row>
    <row r="126" spans="1:48" ht="15.75" customHeight="1" x14ac:dyDescent="0.3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40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</row>
    <row r="127" spans="1:48" ht="15.75" customHeight="1" x14ac:dyDescent="0.3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40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</row>
    <row r="128" spans="1:48" ht="15.75" customHeight="1" x14ac:dyDescent="0.3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40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</row>
    <row r="129" spans="1:48" ht="15.75" customHeight="1" x14ac:dyDescent="0.3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40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</row>
    <row r="130" spans="1:48" ht="15.75" customHeight="1" x14ac:dyDescent="0.3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40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</row>
    <row r="131" spans="1:48" ht="15.75" customHeight="1" x14ac:dyDescent="0.3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40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</row>
    <row r="132" spans="1:48" ht="15.75" customHeight="1" x14ac:dyDescent="0.3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40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</row>
    <row r="133" spans="1:48" ht="15.75" customHeight="1" x14ac:dyDescent="0.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40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</row>
    <row r="134" spans="1:48" ht="15.75" customHeight="1" x14ac:dyDescent="0.3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40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</row>
    <row r="135" spans="1:48" ht="15.75" customHeight="1" x14ac:dyDescent="0.3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40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</row>
    <row r="136" spans="1:48" ht="15.75" customHeight="1" x14ac:dyDescent="0.3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40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</row>
    <row r="137" spans="1:48" ht="15.75" customHeight="1" x14ac:dyDescent="0.3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40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</row>
    <row r="138" spans="1:48" ht="15.75" customHeight="1" x14ac:dyDescent="0.3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40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</row>
    <row r="139" spans="1:48" ht="15.75" customHeight="1" x14ac:dyDescent="0.3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40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</row>
    <row r="140" spans="1:48" ht="15.75" customHeight="1" x14ac:dyDescent="0.3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40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</row>
    <row r="141" spans="1:48" ht="15.75" customHeight="1" x14ac:dyDescent="0.3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40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</row>
    <row r="142" spans="1:48" ht="15.75" customHeight="1" x14ac:dyDescent="0.3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40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</row>
    <row r="143" spans="1:48" ht="15.75" customHeight="1" x14ac:dyDescent="0.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40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</row>
    <row r="144" spans="1:48" ht="15.75" customHeight="1" x14ac:dyDescent="0.3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40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</row>
    <row r="145" spans="1:48" ht="15.75" customHeight="1" x14ac:dyDescent="0.3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40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</row>
    <row r="146" spans="1:48" ht="15.75" customHeight="1" x14ac:dyDescent="0.3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40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</row>
    <row r="147" spans="1:48" ht="15.75" customHeight="1" x14ac:dyDescent="0.3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40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</row>
    <row r="148" spans="1:48" ht="15.75" customHeight="1" x14ac:dyDescent="0.3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40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</row>
    <row r="149" spans="1:48" ht="15.75" customHeight="1" x14ac:dyDescent="0.3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40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</row>
    <row r="150" spans="1:48" ht="15.75" customHeight="1" x14ac:dyDescent="0.3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40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</row>
    <row r="151" spans="1:48" ht="15.75" customHeight="1" x14ac:dyDescent="0.3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40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</row>
    <row r="152" spans="1:48" ht="15.75" customHeight="1" x14ac:dyDescent="0.3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40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</row>
    <row r="153" spans="1:48" ht="15.75" customHeight="1" x14ac:dyDescent="0.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40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</row>
    <row r="154" spans="1:48" ht="15.75" customHeight="1" x14ac:dyDescent="0.3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40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</row>
    <row r="155" spans="1:48" ht="15.75" customHeight="1" x14ac:dyDescent="0.3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40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</row>
    <row r="156" spans="1:48" ht="15.75" customHeight="1" x14ac:dyDescent="0.3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40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</row>
    <row r="157" spans="1:48" ht="15.75" customHeight="1" x14ac:dyDescent="0.3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40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</row>
    <row r="158" spans="1:48" ht="15.75" customHeight="1" x14ac:dyDescent="0.3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40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</row>
    <row r="159" spans="1:48" ht="15.75" customHeight="1" x14ac:dyDescent="0.3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40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</row>
    <row r="160" spans="1:48" ht="15.75" customHeight="1" x14ac:dyDescent="0.3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40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</row>
    <row r="161" spans="1:48" ht="15.75" customHeight="1" x14ac:dyDescent="0.3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40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</row>
    <row r="162" spans="1:48" ht="15.75" customHeight="1" x14ac:dyDescent="0.3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40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</row>
    <row r="163" spans="1:48" ht="15.75" customHeight="1" x14ac:dyDescent="0.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40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</row>
    <row r="164" spans="1:48" ht="15.75" customHeight="1" x14ac:dyDescent="0.3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40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</row>
    <row r="165" spans="1:48" ht="15.75" customHeight="1" x14ac:dyDescent="0.3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40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</row>
    <row r="166" spans="1:48" ht="15.75" customHeight="1" x14ac:dyDescent="0.3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40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</row>
    <row r="167" spans="1:48" ht="15.75" customHeight="1" x14ac:dyDescent="0.3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40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</row>
    <row r="168" spans="1:48" ht="15.75" customHeight="1" x14ac:dyDescent="0.3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40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</row>
    <row r="169" spans="1:48" ht="15.75" customHeight="1" x14ac:dyDescent="0.3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40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</row>
    <row r="170" spans="1:48" ht="15.75" customHeight="1" x14ac:dyDescent="0.3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40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</row>
    <row r="171" spans="1:48" ht="15.75" customHeight="1" x14ac:dyDescent="0.3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40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</row>
    <row r="172" spans="1:48" ht="15.75" customHeight="1" x14ac:dyDescent="0.3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40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</row>
    <row r="173" spans="1:48" ht="15.75" customHeight="1" x14ac:dyDescent="0.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40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</row>
    <row r="174" spans="1:48" ht="15.75" customHeight="1" x14ac:dyDescent="0.3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40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</row>
    <row r="175" spans="1:48" ht="15.75" customHeight="1" x14ac:dyDescent="0.3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40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</row>
    <row r="176" spans="1:48" ht="15.75" customHeight="1" x14ac:dyDescent="0.3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40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</row>
    <row r="177" spans="1:48" ht="15.75" customHeight="1" x14ac:dyDescent="0.3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40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</row>
    <row r="178" spans="1:48" ht="15.75" customHeight="1" x14ac:dyDescent="0.3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40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</row>
    <row r="179" spans="1:48" ht="15.75" customHeight="1" x14ac:dyDescent="0.3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40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</row>
    <row r="180" spans="1:48" ht="15.75" customHeight="1" x14ac:dyDescent="0.3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40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</row>
    <row r="181" spans="1:48" ht="15.75" customHeight="1" x14ac:dyDescent="0.3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40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</row>
    <row r="182" spans="1:48" ht="15.75" customHeight="1" x14ac:dyDescent="0.3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40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</row>
    <row r="183" spans="1:48" ht="15.75" customHeight="1" x14ac:dyDescent="0.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40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</row>
    <row r="184" spans="1:48" ht="15.75" customHeight="1" x14ac:dyDescent="0.3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40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</row>
    <row r="185" spans="1:48" ht="15.75" customHeight="1" x14ac:dyDescent="0.3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40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</row>
    <row r="186" spans="1:48" ht="15.75" customHeight="1" x14ac:dyDescent="0.3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40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</row>
    <row r="187" spans="1:48" ht="15.75" customHeight="1" x14ac:dyDescent="0.3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40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</row>
    <row r="188" spans="1:48" ht="15.75" customHeight="1" x14ac:dyDescent="0.3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40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</row>
    <row r="189" spans="1:48" ht="15.75" customHeight="1" x14ac:dyDescent="0.3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40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</row>
    <row r="190" spans="1:48" ht="15.75" customHeight="1" x14ac:dyDescent="0.3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40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</row>
    <row r="191" spans="1:48" ht="15.75" customHeight="1" x14ac:dyDescent="0.3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40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</row>
    <row r="192" spans="1:48" ht="15.75" customHeight="1" x14ac:dyDescent="0.3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40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</row>
    <row r="193" spans="1:48" ht="15.75" customHeight="1" x14ac:dyDescent="0.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40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</row>
    <row r="194" spans="1:48" ht="15.75" customHeight="1" x14ac:dyDescent="0.3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40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</row>
    <row r="195" spans="1:48" ht="15.75" customHeight="1" x14ac:dyDescent="0.3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40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</row>
    <row r="196" spans="1:48" ht="15.75" customHeight="1" x14ac:dyDescent="0.3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40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</row>
    <row r="197" spans="1:48" ht="15.75" customHeight="1" x14ac:dyDescent="0.3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40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</row>
    <row r="198" spans="1:48" ht="15.75" customHeight="1" x14ac:dyDescent="0.3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40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</row>
    <row r="199" spans="1:48" ht="15.75" customHeight="1" x14ac:dyDescent="0.3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40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</row>
    <row r="200" spans="1:48" ht="15.75" customHeight="1" x14ac:dyDescent="0.3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40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</row>
    <row r="201" spans="1:48" ht="15.75" customHeight="1" x14ac:dyDescent="0.3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40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</row>
    <row r="202" spans="1:48" ht="15.75" customHeight="1" x14ac:dyDescent="0.3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40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</row>
    <row r="203" spans="1:48" ht="15.75" customHeight="1" x14ac:dyDescent="0.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40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</row>
    <row r="204" spans="1:48" ht="15.75" customHeight="1" x14ac:dyDescent="0.3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40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</row>
    <row r="205" spans="1:48" ht="15.75" customHeight="1" x14ac:dyDescent="0.3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40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</row>
    <row r="206" spans="1:48" ht="15.75" customHeight="1" x14ac:dyDescent="0.3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40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</row>
    <row r="207" spans="1:48" ht="15.75" customHeight="1" x14ac:dyDescent="0.3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40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</row>
    <row r="208" spans="1:48" ht="15.75" customHeight="1" x14ac:dyDescent="0.3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40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</row>
    <row r="209" spans="1:48" ht="15.75" customHeight="1" x14ac:dyDescent="0.3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40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</row>
    <row r="210" spans="1:48" ht="15.75" customHeight="1" x14ac:dyDescent="0.3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40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</row>
    <row r="211" spans="1:48" ht="15.75" customHeight="1" x14ac:dyDescent="0.3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40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</row>
    <row r="212" spans="1:48" ht="15.75" customHeight="1" x14ac:dyDescent="0.3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40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</row>
    <row r="213" spans="1:48" ht="15.75" customHeight="1" x14ac:dyDescent="0.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40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</row>
    <row r="214" spans="1:48" ht="15.75" customHeight="1" x14ac:dyDescent="0.3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40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</row>
    <row r="215" spans="1:48" ht="15.75" customHeight="1" x14ac:dyDescent="0.3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40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</row>
    <row r="216" spans="1:48" ht="15.75" customHeight="1" x14ac:dyDescent="0.3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40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</row>
    <row r="217" spans="1:48" ht="15.75" customHeight="1" x14ac:dyDescent="0.3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40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</row>
    <row r="218" spans="1:48" ht="15.75" customHeight="1" x14ac:dyDescent="0.3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40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</row>
    <row r="219" spans="1:48" ht="15.75" customHeight="1" x14ac:dyDescent="0.3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40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</row>
    <row r="220" spans="1:48" ht="15.75" customHeight="1" x14ac:dyDescent="0.3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40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</row>
    <row r="221" spans="1:48" ht="15.75" customHeight="1" x14ac:dyDescent="0.3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40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</row>
    <row r="222" spans="1:48" ht="15.75" customHeight="1" x14ac:dyDescent="0.3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40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</row>
    <row r="223" spans="1:48" ht="15.75" customHeight="1" x14ac:dyDescent="0.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40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</row>
    <row r="224" spans="1:48" ht="15.75" customHeight="1" x14ac:dyDescent="0.3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40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</row>
    <row r="225" spans="1:48" ht="15.75" customHeight="1" x14ac:dyDescent="0.3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40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</row>
    <row r="226" spans="1:48" ht="15.75" customHeight="1" x14ac:dyDescent="0.3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40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</row>
    <row r="227" spans="1:48" ht="15.75" customHeight="1" x14ac:dyDescent="0.3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40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</row>
    <row r="228" spans="1:48" ht="15.75" customHeight="1" x14ac:dyDescent="0.3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40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</row>
    <row r="229" spans="1:48" ht="15.75" customHeight="1" x14ac:dyDescent="0.3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40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</row>
    <row r="230" spans="1:48" ht="15.75" customHeight="1" x14ac:dyDescent="0.3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40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</row>
    <row r="231" spans="1:48" ht="15.75" customHeight="1" x14ac:dyDescent="0.3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40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</row>
    <row r="232" spans="1:48" ht="15.75" customHeight="1" x14ac:dyDescent="0.3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40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</row>
    <row r="233" spans="1:48" ht="15.75" customHeight="1" x14ac:dyDescent="0.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40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</row>
    <row r="234" spans="1:48" ht="15.75" customHeight="1" x14ac:dyDescent="0.3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40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</row>
    <row r="235" spans="1:48" ht="15.75" customHeight="1" x14ac:dyDescent="0.3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40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</row>
    <row r="236" spans="1:48" ht="15.75" customHeight="1" x14ac:dyDescent="0.3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40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</row>
    <row r="237" spans="1:48" ht="15.75" customHeight="1" x14ac:dyDescent="0.3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40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</row>
    <row r="238" spans="1:48" ht="15.75" customHeight="1" x14ac:dyDescent="0.3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40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</row>
    <row r="239" spans="1:48" ht="15.75" customHeight="1" x14ac:dyDescent="0.3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40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</row>
    <row r="240" spans="1:48" ht="15.75" customHeight="1" x14ac:dyDescent="0.3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40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</row>
    <row r="241" spans="1:48" ht="15.75" customHeight="1" x14ac:dyDescent="0.3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40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</row>
    <row r="242" spans="1:48" ht="15.75" customHeight="1" x14ac:dyDescent="0.3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40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</row>
    <row r="243" spans="1:48" ht="15.75" customHeight="1" x14ac:dyDescent="0.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40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</row>
    <row r="244" spans="1:48" ht="15.75" customHeight="1" x14ac:dyDescent="0.3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40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</row>
    <row r="245" spans="1:48" ht="15.75" customHeight="1" x14ac:dyDescent="0.3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40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</row>
    <row r="246" spans="1:48" ht="15.75" customHeight="1" x14ac:dyDescent="0.3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40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</row>
    <row r="247" spans="1:48" ht="15.75" customHeight="1" x14ac:dyDescent="0.3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40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</row>
    <row r="248" spans="1:48" ht="15.75" customHeight="1" x14ac:dyDescent="0.3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40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</row>
    <row r="249" spans="1:48" ht="15.75" customHeight="1" x14ac:dyDescent="0.3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40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</row>
    <row r="250" spans="1:48" ht="15.75" customHeight="1" x14ac:dyDescent="0.3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40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</row>
    <row r="251" spans="1:48" ht="15.75" customHeight="1" x14ac:dyDescent="0.3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40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</row>
    <row r="252" spans="1:48" ht="15.75" customHeight="1" x14ac:dyDescent="0.3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40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</row>
    <row r="253" spans="1:48" ht="15.75" customHeight="1" x14ac:dyDescent="0.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40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</row>
    <row r="254" spans="1:48" ht="15.75" customHeight="1" x14ac:dyDescent="0.3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40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</row>
    <row r="255" spans="1:48" ht="15.75" customHeight="1" x14ac:dyDescent="0.3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40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</row>
    <row r="256" spans="1:48" ht="15.75" customHeight="1" x14ac:dyDescent="0.3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40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</row>
    <row r="257" spans="1:48" ht="15.75" customHeight="1" x14ac:dyDescent="0.3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40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</row>
    <row r="258" spans="1:48" ht="15.75" customHeight="1" x14ac:dyDescent="0.3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40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</row>
    <row r="259" spans="1:48" ht="15.75" customHeight="1" x14ac:dyDescent="0.3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40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</row>
    <row r="260" spans="1:48" ht="15.75" customHeight="1" x14ac:dyDescent="0.3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40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</row>
    <row r="261" spans="1:48" ht="15.75" customHeight="1" x14ac:dyDescent="0.3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40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</row>
    <row r="262" spans="1:48" ht="15.75" customHeight="1" x14ac:dyDescent="0.3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40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</row>
    <row r="263" spans="1:48" ht="15.75" customHeight="1" x14ac:dyDescent="0.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40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</row>
    <row r="264" spans="1:48" ht="15.75" customHeight="1" x14ac:dyDescent="0.3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40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</row>
    <row r="265" spans="1:48" ht="15.75" customHeight="1" x14ac:dyDescent="0.3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40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</row>
    <row r="266" spans="1:48" ht="15.75" customHeight="1" x14ac:dyDescent="0.3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40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</row>
    <row r="267" spans="1:48" ht="15.75" customHeight="1" x14ac:dyDescent="0.3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40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</row>
    <row r="268" spans="1:48" ht="15.75" customHeight="1" x14ac:dyDescent="0.3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40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</row>
    <row r="269" spans="1:48" ht="15.75" customHeight="1" x14ac:dyDescent="0.3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40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</row>
    <row r="270" spans="1:48" ht="15.75" customHeight="1" x14ac:dyDescent="0.3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40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</row>
    <row r="271" spans="1:48" ht="15.75" customHeight="1" x14ac:dyDescent="0.3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40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</row>
    <row r="272" spans="1:48" ht="15.75" customHeight="1" x14ac:dyDescent="0.3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40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</row>
    <row r="273" spans="1:48" ht="15.75" customHeight="1" x14ac:dyDescent="0.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40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</row>
    <row r="274" spans="1:48" ht="15.75" customHeight="1" x14ac:dyDescent="0.3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40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</row>
    <row r="275" spans="1:48" ht="15.75" customHeight="1" x14ac:dyDescent="0.3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40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</row>
    <row r="276" spans="1:48" ht="15.75" customHeight="1" x14ac:dyDescent="0.3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40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</row>
    <row r="277" spans="1:48" ht="15.75" customHeight="1" x14ac:dyDescent="0.3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40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</row>
    <row r="278" spans="1:48" ht="15.75" customHeight="1" x14ac:dyDescent="0.3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</row>
    <row r="279" spans="1:48" ht="15.75" customHeight="1" x14ac:dyDescent="0.3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</row>
    <row r="280" spans="1:48" ht="15.75" customHeight="1" x14ac:dyDescent="0.3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</row>
    <row r="281" spans="1:48" ht="15.75" customHeight="1" x14ac:dyDescent="0.3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</row>
    <row r="282" spans="1:48" ht="15.75" customHeight="1" x14ac:dyDescent="0.3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</row>
    <row r="283" spans="1:48" ht="15.75" customHeight="1" x14ac:dyDescent="0.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</row>
    <row r="284" spans="1:48" ht="15.75" customHeight="1" x14ac:dyDescent="0.3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</row>
    <row r="285" spans="1:48" ht="15.75" customHeight="1" x14ac:dyDescent="0.3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</row>
    <row r="286" spans="1:48" ht="15.75" customHeight="1" x14ac:dyDescent="0.3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</row>
    <row r="287" spans="1:48" ht="15.75" customHeight="1" x14ac:dyDescent="0.3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</row>
    <row r="288" spans="1:48" ht="15.75" customHeight="1" x14ac:dyDescent="0.3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</row>
    <row r="289" spans="1:48" ht="15.75" customHeight="1" x14ac:dyDescent="0.3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</row>
    <row r="290" spans="1:48" ht="15.75" customHeight="1" x14ac:dyDescent="0.3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</row>
    <row r="291" spans="1:48" ht="15.75" customHeight="1" x14ac:dyDescent="0.3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</row>
    <row r="292" spans="1:48" ht="15.75" customHeight="1" x14ac:dyDescent="0.3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</row>
    <row r="293" spans="1:48" ht="15.75" customHeight="1" x14ac:dyDescent="0.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</row>
    <row r="294" spans="1:48" ht="15.75" customHeight="1" x14ac:dyDescent="0.3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</row>
    <row r="295" spans="1:48" ht="15.75" customHeight="1" x14ac:dyDescent="0.3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</row>
    <row r="296" spans="1:48" ht="15.75" customHeight="1" x14ac:dyDescent="0.3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</row>
    <row r="297" spans="1:48" ht="15.75" customHeight="1" x14ac:dyDescent="0.3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</row>
    <row r="298" spans="1:48" ht="15.75" customHeight="1" x14ac:dyDescent="0.3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</row>
    <row r="299" spans="1:48" ht="15.75" customHeight="1" x14ac:dyDescent="0.3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</row>
    <row r="300" spans="1:48" ht="15.75" customHeight="1" x14ac:dyDescent="0.3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</row>
    <row r="301" spans="1:48" ht="15.75" customHeight="1" x14ac:dyDescent="0.3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</row>
    <row r="302" spans="1:48" ht="15.75" customHeight="1" x14ac:dyDescent="0.3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</row>
    <row r="303" spans="1:48" ht="15.75" customHeight="1" x14ac:dyDescent="0.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</row>
    <row r="304" spans="1:48" ht="15.75" customHeight="1" x14ac:dyDescent="0.3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</row>
    <row r="305" spans="1:48" ht="15.75" customHeight="1" x14ac:dyDescent="0.3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</row>
    <row r="306" spans="1:48" ht="15.75" customHeight="1" x14ac:dyDescent="0.3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</row>
    <row r="307" spans="1:48" ht="15.75" customHeight="1" x14ac:dyDescent="0.3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</row>
    <row r="308" spans="1:48" ht="15.75" customHeight="1" x14ac:dyDescent="0.3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</row>
    <row r="309" spans="1:48" ht="15.75" customHeight="1" x14ac:dyDescent="0.3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</row>
    <row r="310" spans="1:48" ht="15.75" customHeight="1" x14ac:dyDescent="0.3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</row>
    <row r="311" spans="1:48" ht="15.75" customHeight="1" x14ac:dyDescent="0.3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</row>
    <row r="312" spans="1:48" ht="15.75" customHeight="1" x14ac:dyDescent="0.3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</row>
    <row r="313" spans="1:48" ht="15.75" customHeight="1" x14ac:dyDescent="0.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</row>
    <row r="314" spans="1:48" ht="15.75" customHeight="1" x14ac:dyDescent="0.3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</row>
    <row r="315" spans="1:48" ht="15.75" customHeight="1" x14ac:dyDescent="0.3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</row>
    <row r="316" spans="1:48" ht="15.75" customHeight="1" x14ac:dyDescent="0.3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</row>
    <row r="317" spans="1:48" ht="15.75" customHeight="1" x14ac:dyDescent="0.3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</row>
    <row r="318" spans="1:48" ht="15.75" customHeight="1" x14ac:dyDescent="0.3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</row>
    <row r="319" spans="1:48" ht="15.75" customHeight="1" x14ac:dyDescent="0.3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</row>
    <row r="320" spans="1:48" ht="15.75" customHeight="1" x14ac:dyDescent="0.3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</row>
    <row r="321" spans="1:48" ht="15.75" customHeight="1" x14ac:dyDescent="0.3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</row>
    <row r="322" spans="1:48" ht="15.75" customHeight="1" x14ac:dyDescent="0.3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</row>
    <row r="323" spans="1:48" ht="15.75" customHeight="1" x14ac:dyDescent="0.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</row>
    <row r="324" spans="1:48" ht="15.75" customHeight="1" x14ac:dyDescent="0.3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</row>
    <row r="325" spans="1:48" ht="15.75" customHeight="1" x14ac:dyDescent="0.3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</row>
    <row r="326" spans="1:48" ht="15.75" customHeight="1" x14ac:dyDescent="0.3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</row>
    <row r="327" spans="1:48" ht="15.75" customHeight="1" x14ac:dyDescent="0.3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</row>
    <row r="328" spans="1:48" ht="15.75" customHeight="1" x14ac:dyDescent="0.3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</row>
    <row r="329" spans="1:48" ht="15.75" customHeight="1" x14ac:dyDescent="0.3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</row>
    <row r="330" spans="1:48" ht="15.75" customHeight="1" x14ac:dyDescent="0.3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</row>
    <row r="331" spans="1:48" ht="15.75" customHeight="1" x14ac:dyDescent="0.3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</row>
    <row r="332" spans="1:48" ht="15.75" customHeight="1" x14ac:dyDescent="0.3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</row>
    <row r="333" spans="1:48" ht="15.75" customHeight="1" x14ac:dyDescent="0.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</row>
    <row r="334" spans="1:48" ht="15.75" customHeight="1" x14ac:dyDescent="0.3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</row>
    <row r="335" spans="1:48" ht="15.75" customHeight="1" x14ac:dyDescent="0.3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</row>
    <row r="336" spans="1:48" ht="15.75" customHeight="1" x14ac:dyDescent="0.3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</row>
    <row r="337" spans="1:48" ht="15.75" customHeight="1" x14ac:dyDescent="0.3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</row>
    <row r="338" spans="1:48" ht="15.75" customHeight="1" x14ac:dyDescent="0.3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</row>
    <row r="339" spans="1:48" ht="15.75" customHeight="1" x14ac:dyDescent="0.3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</row>
    <row r="340" spans="1:48" ht="15.75" customHeight="1" x14ac:dyDescent="0.3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</row>
    <row r="341" spans="1:48" ht="15.75" customHeight="1" x14ac:dyDescent="0.3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</row>
    <row r="342" spans="1:48" ht="15.75" customHeight="1" x14ac:dyDescent="0.3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</row>
    <row r="343" spans="1:48" ht="15.75" customHeight="1" x14ac:dyDescent="0.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</row>
    <row r="344" spans="1:48" ht="15.75" customHeight="1" x14ac:dyDescent="0.3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</row>
    <row r="345" spans="1:48" ht="15.75" customHeight="1" x14ac:dyDescent="0.3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</row>
    <row r="346" spans="1:48" ht="15.75" customHeight="1" x14ac:dyDescent="0.3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</row>
    <row r="347" spans="1:48" ht="15.75" customHeight="1" x14ac:dyDescent="0.3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</row>
    <row r="348" spans="1:48" ht="15.75" customHeight="1" x14ac:dyDescent="0.3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</row>
    <row r="349" spans="1:48" ht="15.75" customHeight="1" x14ac:dyDescent="0.3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</row>
    <row r="350" spans="1:48" ht="15.75" customHeight="1" x14ac:dyDescent="0.3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</row>
    <row r="351" spans="1:48" ht="15.75" customHeight="1" x14ac:dyDescent="0.3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</row>
    <row r="352" spans="1:48" ht="15.75" customHeight="1" x14ac:dyDescent="0.3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</row>
    <row r="353" spans="1:48" ht="15.75" customHeight="1" x14ac:dyDescent="0.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</row>
    <row r="354" spans="1:48" ht="15.75" customHeight="1" x14ac:dyDescent="0.3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</row>
    <row r="355" spans="1:48" ht="15.75" customHeight="1" x14ac:dyDescent="0.3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</row>
    <row r="356" spans="1:48" ht="15.75" customHeight="1" x14ac:dyDescent="0.3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</row>
    <row r="357" spans="1:48" ht="15.75" customHeight="1" x14ac:dyDescent="0.3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</row>
    <row r="358" spans="1:48" ht="15.75" customHeight="1" x14ac:dyDescent="0.3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</row>
    <row r="359" spans="1:48" ht="15.75" customHeight="1" x14ac:dyDescent="0.3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</row>
    <row r="360" spans="1:48" ht="15.75" customHeight="1" x14ac:dyDescent="0.3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</row>
    <row r="361" spans="1:48" ht="15.75" customHeight="1" x14ac:dyDescent="0.3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</row>
    <row r="362" spans="1:48" ht="15.75" customHeight="1" x14ac:dyDescent="0.3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</row>
    <row r="363" spans="1:48" ht="15.75" customHeight="1" x14ac:dyDescent="0.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</row>
    <row r="364" spans="1:48" ht="15.75" customHeight="1" x14ac:dyDescent="0.3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</row>
    <row r="365" spans="1:48" ht="15.75" customHeight="1" x14ac:dyDescent="0.3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</row>
    <row r="366" spans="1:48" ht="15.75" customHeight="1" x14ac:dyDescent="0.3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</row>
    <row r="367" spans="1:48" ht="15.75" customHeight="1" x14ac:dyDescent="0.3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</row>
    <row r="368" spans="1:48" ht="15.75" customHeight="1" x14ac:dyDescent="0.3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</row>
    <row r="369" spans="1:48" ht="15.75" customHeight="1" x14ac:dyDescent="0.3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</row>
    <row r="370" spans="1:48" ht="15.75" customHeight="1" x14ac:dyDescent="0.3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</row>
    <row r="371" spans="1:48" ht="15.75" customHeight="1" x14ac:dyDescent="0.3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</row>
    <row r="372" spans="1:48" ht="15.75" customHeight="1" x14ac:dyDescent="0.3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</row>
    <row r="373" spans="1:48" ht="15.75" customHeight="1" x14ac:dyDescent="0.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</row>
    <row r="374" spans="1:48" ht="15.75" customHeight="1" x14ac:dyDescent="0.3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</row>
    <row r="375" spans="1:48" ht="15.75" customHeight="1" x14ac:dyDescent="0.3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</row>
    <row r="376" spans="1:48" ht="15.75" customHeight="1" x14ac:dyDescent="0.3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</row>
    <row r="377" spans="1:48" ht="15.75" customHeight="1" x14ac:dyDescent="0.3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</row>
    <row r="378" spans="1:48" ht="15.75" customHeight="1" x14ac:dyDescent="0.3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</row>
    <row r="379" spans="1:48" ht="15.75" customHeight="1" x14ac:dyDescent="0.3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</row>
    <row r="380" spans="1:48" ht="15.75" customHeight="1" x14ac:dyDescent="0.3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</row>
    <row r="381" spans="1:48" ht="15.75" customHeight="1" x14ac:dyDescent="0.3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</row>
    <row r="382" spans="1:48" ht="15.75" customHeight="1" x14ac:dyDescent="0.3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</row>
    <row r="383" spans="1:48" ht="15.75" customHeight="1" x14ac:dyDescent="0.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</row>
    <row r="384" spans="1:48" ht="15.75" customHeight="1" x14ac:dyDescent="0.3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</row>
    <row r="385" spans="1:48" ht="15.75" customHeight="1" x14ac:dyDescent="0.3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</row>
    <row r="386" spans="1:48" ht="15.75" customHeight="1" x14ac:dyDescent="0.3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</row>
    <row r="387" spans="1:48" ht="15.75" customHeight="1" x14ac:dyDescent="0.3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</row>
    <row r="388" spans="1:48" ht="15.75" customHeight="1" x14ac:dyDescent="0.3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</row>
    <row r="389" spans="1:48" ht="15.75" customHeight="1" x14ac:dyDescent="0.3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</row>
    <row r="390" spans="1:48" ht="15.75" customHeight="1" x14ac:dyDescent="0.3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</row>
    <row r="391" spans="1:48" ht="15.75" customHeight="1" x14ac:dyDescent="0.3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</row>
    <row r="392" spans="1:48" ht="15.75" customHeight="1" x14ac:dyDescent="0.3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</row>
    <row r="393" spans="1:48" ht="15.75" customHeight="1" x14ac:dyDescent="0.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</row>
    <row r="394" spans="1:48" ht="15.75" customHeight="1" x14ac:dyDescent="0.3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</row>
    <row r="395" spans="1:48" ht="15.75" customHeight="1" x14ac:dyDescent="0.3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</row>
    <row r="396" spans="1:48" ht="15.75" customHeight="1" x14ac:dyDescent="0.3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</row>
    <row r="397" spans="1:48" ht="15.75" customHeight="1" x14ac:dyDescent="0.3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</row>
    <row r="398" spans="1:48" ht="15.75" customHeight="1" x14ac:dyDescent="0.3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</row>
    <row r="399" spans="1:48" ht="15.75" customHeight="1" x14ac:dyDescent="0.3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</row>
    <row r="400" spans="1:48" ht="15.75" customHeight="1" x14ac:dyDescent="0.3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</row>
    <row r="401" spans="1:48" ht="15.75" customHeight="1" x14ac:dyDescent="0.3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</row>
    <row r="402" spans="1:48" ht="15.75" customHeight="1" x14ac:dyDescent="0.3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</row>
    <row r="403" spans="1:48" ht="15.75" customHeight="1" x14ac:dyDescent="0.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</row>
    <row r="404" spans="1:48" ht="15.75" customHeight="1" x14ac:dyDescent="0.3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</row>
    <row r="405" spans="1:48" ht="15.75" customHeight="1" x14ac:dyDescent="0.3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</row>
    <row r="406" spans="1:48" ht="15.75" customHeight="1" x14ac:dyDescent="0.3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</row>
    <row r="407" spans="1:48" ht="15.75" customHeight="1" x14ac:dyDescent="0.3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</row>
    <row r="408" spans="1:48" ht="15.75" customHeight="1" x14ac:dyDescent="0.3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</row>
    <row r="409" spans="1:48" ht="15.75" customHeight="1" x14ac:dyDescent="0.3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</row>
    <row r="410" spans="1:48" ht="15.75" customHeight="1" x14ac:dyDescent="0.3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</row>
    <row r="411" spans="1:48" ht="15.75" customHeight="1" x14ac:dyDescent="0.3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</row>
    <row r="412" spans="1:48" ht="15.75" customHeight="1" x14ac:dyDescent="0.3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</row>
    <row r="413" spans="1:48" ht="15.75" customHeight="1" x14ac:dyDescent="0.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</row>
    <row r="414" spans="1:48" ht="15.75" customHeight="1" x14ac:dyDescent="0.3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</row>
    <row r="415" spans="1:48" ht="15.75" customHeight="1" x14ac:dyDescent="0.3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</row>
    <row r="416" spans="1:48" ht="15.75" customHeight="1" x14ac:dyDescent="0.3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</row>
    <row r="417" spans="1:48" ht="15.75" customHeight="1" x14ac:dyDescent="0.3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</row>
    <row r="418" spans="1:48" ht="15.75" customHeight="1" x14ac:dyDescent="0.3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</row>
    <row r="419" spans="1:48" ht="15.75" customHeight="1" x14ac:dyDescent="0.3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</row>
    <row r="420" spans="1:48" ht="15.75" customHeight="1" x14ac:dyDescent="0.3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</row>
    <row r="421" spans="1:48" ht="15.75" customHeight="1" x14ac:dyDescent="0.3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</row>
    <row r="422" spans="1:48" ht="15.75" customHeight="1" x14ac:dyDescent="0.3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</row>
    <row r="423" spans="1:48" ht="15.75" customHeight="1" x14ac:dyDescent="0.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</row>
    <row r="424" spans="1:48" ht="15.75" customHeight="1" x14ac:dyDescent="0.3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</row>
    <row r="425" spans="1:48" ht="15.75" customHeight="1" x14ac:dyDescent="0.3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</row>
    <row r="426" spans="1:48" ht="15.75" customHeight="1" x14ac:dyDescent="0.3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</row>
    <row r="427" spans="1:48" ht="15.75" customHeight="1" x14ac:dyDescent="0.3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</row>
    <row r="428" spans="1:48" ht="15.75" customHeight="1" x14ac:dyDescent="0.3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</row>
    <row r="429" spans="1:48" ht="15.75" customHeight="1" x14ac:dyDescent="0.3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</row>
    <row r="430" spans="1:48" ht="15.75" customHeight="1" x14ac:dyDescent="0.3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</row>
    <row r="431" spans="1:48" ht="15.75" customHeight="1" x14ac:dyDescent="0.3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</row>
    <row r="432" spans="1:48" ht="15.75" customHeight="1" x14ac:dyDescent="0.3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</row>
    <row r="433" spans="1:48" ht="15.75" customHeight="1" x14ac:dyDescent="0.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</row>
    <row r="434" spans="1:48" ht="15.75" customHeight="1" x14ac:dyDescent="0.3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</row>
    <row r="435" spans="1:48" ht="15.75" customHeight="1" x14ac:dyDescent="0.3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</row>
    <row r="436" spans="1:48" ht="15.75" customHeight="1" x14ac:dyDescent="0.3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</row>
    <row r="437" spans="1:48" ht="15.75" customHeight="1" x14ac:dyDescent="0.3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</row>
    <row r="438" spans="1:48" ht="15.75" customHeight="1" x14ac:dyDescent="0.3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</row>
    <row r="439" spans="1:48" ht="15.75" customHeight="1" x14ac:dyDescent="0.3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</row>
    <row r="440" spans="1:48" ht="15.75" customHeight="1" x14ac:dyDescent="0.3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</row>
    <row r="441" spans="1:48" ht="15.75" customHeight="1" x14ac:dyDescent="0.3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</row>
    <row r="442" spans="1:48" ht="15.75" customHeight="1" x14ac:dyDescent="0.3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</row>
    <row r="443" spans="1:48" ht="15.75" customHeight="1" x14ac:dyDescent="0.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</row>
    <row r="444" spans="1:48" ht="15.75" customHeight="1" x14ac:dyDescent="0.3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</row>
    <row r="445" spans="1:48" ht="15.75" customHeight="1" x14ac:dyDescent="0.3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</row>
    <row r="446" spans="1:48" ht="15.75" customHeight="1" x14ac:dyDescent="0.3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</row>
    <row r="447" spans="1:48" ht="15.75" customHeight="1" x14ac:dyDescent="0.3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</row>
    <row r="448" spans="1:48" ht="15.75" customHeight="1" x14ac:dyDescent="0.3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</row>
    <row r="449" spans="1:48" ht="15.75" customHeight="1" x14ac:dyDescent="0.3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</row>
    <row r="450" spans="1:48" ht="15.75" customHeight="1" x14ac:dyDescent="0.3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</row>
    <row r="451" spans="1:48" ht="15.75" customHeight="1" x14ac:dyDescent="0.3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</row>
    <row r="452" spans="1:48" ht="15.75" customHeight="1" x14ac:dyDescent="0.3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</row>
    <row r="453" spans="1:48" ht="15.75" customHeight="1" x14ac:dyDescent="0.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</row>
    <row r="454" spans="1:48" ht="15.75" customHeight="1" x14ac:dyDescent="0.3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</row>
    <row r="455" spans="1:48" ht="15.75" customHeight="1" x14ac:dyDescent="0.3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</row>
    <row r="456" spans="1:48" ht="15.75" customHeight="1" x14ac:dyDescent="0.3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</row>
    <row r="457" spans="1:48" ht="15.75" customHeight="1" x14ac:dyDescent="0.3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</row>
    <row r="458" spans="1:48" ht="15.75" customHeight="1" x14ac:dyDescent="0.3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</row>
    <row r="459" spans="1:48" ht="15.75" customHeight="1" x14ac:dyDescent="0.3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</row>
    <row r="460" spans="1:48" ht="15.75" customHeight="1" x14ac:dyDescent="0.3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</row>
    <row r="461" spans="1:48" ht="15.75" customHeight="1" x14ac:dyDescent="0.3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</row>
    <row r="462" spans="1:48" ht="15.75" customHeight="1" x14ac:dyDescent="0.3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</row>
    <row r="463" spans="1:48" ht="15.75" customHeight="1" x14ac:dyDescent="0.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</row>
    <row r="464" spans="1:48" ht="15.75" customHeight="1" x14ac:dyDescent="0.3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</row>
    <row r="465" spans="1:48" ht="15.75" customHeight="1" x14ac:dyDescent="0.3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</row>
    <row r="466" spans="1:48" ht="15.75" customHeight="1" x14ac:dyDescent="0.3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</row>
    <row r="467" spans="1:48" ht="15.75" customHeight="1" x14ac:dyDescent="0.3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</row>
    <row r="468" spans="1:48" ht="15.75" customHeight="1" x14ac:dyDescent="0.3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</row>
    <row r="469" spans="1:48" ht="15.75" customHeight="1" x14ac:dyDescent="0.3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</row>
    <row r="470" spans="1:48" ht="15.75" customHeight="1" x14ac:dyDescent="0.3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</row>
    <row r="471" spans="1:48" ht="15.75" customHeight="1" x14ac:dyDescent="0.3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</row>
    <row r="472" spans="1:48" ht="15.75" customHeight="1" x14ac:dyDescent="0.3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</row>
    <row r="473" spans="1:48" ht="15.75" customHeight="1" x14ac:dyDescent="0.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</row>
    <row r="474" spans="1:48" ht="15.75" customHeight="1" x14ac:dyDescent="0.3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</row>
    <row r="475" spans="1:48" ht="15.75" customHeight="1" x14ac:dyDescent="0.3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</row>
    <row r="476" spans="1:48" ht="15.75" customHeight="1" x14ac:dyDescent="0.3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</row>
    <row r="477" spans="1:48" ht="15.75" customHeight="1" x14ac:dyDescent="0.3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</row>
    <row r="478" spans="1:48" ht="15.75" customHeight="1" x14ac:dyDescent="0.3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</row>
    <row r="479" spans="1:48" ht="15.75" customHeight="1" x14ac:dyDescent="0.3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</row>
    <row r="480" spans="1:48" ht="15.75" customHeight="1" x14ac:dyDescent="0.3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</row>
    <row r="481" spans="1:48" ht="15.75" customHeight="1" x14ac:dyDescent="0.3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</row>
    <row r="482" spans="1:48" ht="15.75" customHeight="1" x14ac:dyDescent="0.3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</row>
    <row r="483" spans="1:48" ht="15.75" customHeight="1" x14ac:dyDescent="0.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</row>
    <row r="484" spans="1:48" ht="15.75" customHeight="1" x14ac:dyDescent="0.3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</row>
    <row r="485" spans="1:48" ht="15.75" customHeight="1" x14ac:dyDescent="0.3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</row>
    <row r="486" spans="1:48" ht="15.75" customHeight="1" x14ac:dyDescent="0.3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</row>
    <row r="487" spans="1:48" ht="15.75" customHeight="1" x14ac:dyDescent="0.3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</row>
    <row r="488" spans="1:48" ht="15.75" customHeight="1" x14ac:dyDescent="0.3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</row>
    <row r="489" spans="1:48" ht="15.75" customHeight="1" x14ac:dyDescent="0.3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</row>
    <row r="490" spans="1:48" ht="15.75" customHeight="1" x14ac:dyDescent="0.3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</row>
    <row r="491" spans="1:48" ht="15.75" customHeight="1" x14ac:dyDescent="0.3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</row>
    <row r="492" spans="1:48" ht="15.75" customHeight="1" x14ac:dyDescent="0.3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</row>
    <row r="493" spans="1:48" ht="15.75" customHeight="1" x14ac:dyDescent="0.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</row>
    <row r="494" spans="1:48" ht="15.75" customHeight="1" x14ac:dyDescent="0.3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</row>
    <row r="495" spans="1:48" ht="15.75" customHeight="1" x14ac:dyDescent="0.3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</row>
    <row r="496" spans="1:48" ht="15.75" customHeight="1" x14ac:dyDescent="0.3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</row>
    <row r="497" spans="1:48" ht="15.75" customHeight="1" x14ac:dyDescent="0.3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</row>
    <row r="498" spans="1:48" ht="15.75" customHeight="1" x14ac:dyDescent="0.3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</row>
    <row r="499" spans="1:48" ht="15.75" customHeight="1" x14ac:dyDescent="0.3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</row>
    <row r="500" spans="1:48" ht="15.75" customHeight="1" x14ac:dyDescent="0.3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</row>
    <row r="501" spans="1:48" ht="15.75" customHeight="1" x14ac:dyDescent="0.3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</row>
    <row r="502" spans="1:48" ht="15.75" customHeight="1" x14ac:dyDescent="0.3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</row>
    <row r="503" spans="1:48" ht="15.75" customHeight="1" x14ac:dyDescent="0.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</row>
    <row r="504" spans="1:48" ht="15.75" customHeight="1" x14ac:dyDescent="0.3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</row>
    <row r="505" spans="1:48" ht="15.75" customHeight="1" x14ac:dyDescent="0.3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</row>
    <row r="506" spans="1:48" ht="15.75" customHeight="1" x14ac:dyDescent="0.3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</row>
    <row r="507" spans="1:48" ht="15.75" customHeight="1" x14ac:dyDescent="0.3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</row>
    <row r="508" spans="1:48" ht="15.75" customHeight="1" x14ac:dyDescent="0.3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</row>
    <row r="509" spans="1:48" ht="15.75" customHeight="1" x14ac:dyDescent="0.3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</row>
    <row r="510" spans="1:48" ht="15.75" customHeight="1" x14ac:dyDescent="0.3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</row>
    <row r="511" spans="1:48" ht="15.75" customHeight="1" x14ac:dyDescent="0.3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</row>
    <row r="512" spans="1:48" ht="15.75" customHeight="1" x14ac:dyDescent="0.3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</row>
    <row r="513" spans="1:48" ht="15.75" customHeight="1" x14ac:dyDescent="0.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</row>
    <row r="514" spans="1:48" ht="15.75" customHeight="1" x14ac:dyDescent="0.3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</row>
    <row r="515" spans="1:48" ht="15.75" customHeight="1" x14ac:dyDescent="0.3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</row>
    <row r="516" spans="1:48" ht="15.75" customHeight="1" x14ac:dyDescent="0.3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</row>
    <row r="517" spans="1:48" ht="15.75" customHeight="1" x14ac:dyDescent="0.3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</row>
    <row r="518" spans="1:48" ht="15.75" customHeight="1" x14ac:dyDescent="0.3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</row>
    <row r="519" spans="1:48" ht="15.75" customHeight="1" x14ac:dyDescent="0.3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</row>
    <row r="520" spans="1:48" ht="15.75" customHeight="1" x14ac:dyDescent="0.3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</row>
    <row r="521" spans="1:48" ht="15.75" customHeight="1" x14ac:dyDescent="0.3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</row>
    <row r="522" spans="1:48" ht="15.75" customHeight="1" x14ac:dyDescent="0.3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</row>
    <row r="523" spans="1:48" ht="15.75" customHeight="1" x14ac:dyDescent="0.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</row>
    <row r="524" spans="1:48" ht="15.75" customHeight="1" x14ac:dyDescent="0.3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</row>
    <row r="525" spans="1:48" ht="15.75" customHeight="1" x14ac:dyDescent="0.3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</row>
    <row r="526" spans="1:48" ht="15.75" customHeight="1" x14ac:dyDescent="0.3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</row>
    <row r="527" spans="1:48" ht="15.75" customHeight="1" x14ac:dyDescent="0.3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</row>
    <row r="528" spans="1:48" ht="15.75" customHeight="1" x14ac:dyDescent="0.3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</row>
    <row r="529" spans="1:48" ht="15.75" customHeight="1" x14ac:dyDescent="0.3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</row>
    <row r="530" spans="1:48" ht="15.75" customHeight="1" x14ac:dyDescent="0.3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</row>
    <row r="531" spans="1:48" ht="15.75" customHeight="1" x14ac:dyDescent="0.3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</row>
    <row r="532" spans="1:48" ht="15.75" customHeight="1" x14ac:dyDescent="0.3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</row>
    <row r="533" spans="1:48" ht="15.75" customHeight="1" x14ac:dyDescent="0.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</row>
    <row r="534" spans="1:48" ht="15.75" customHeight="1" x14ac:dyDescent="0.3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</row>
    <row r="535" spans="1:48" ht="15.75" customHeight="1" x14ac:dyDescent="0.3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</row>
    <row r="536" spans="1:48" ht="15.75" customHeight="1" x14ac:dyDescent="0.3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</row>
    <row r="537" spans="1:48" ht="15.75" customHeight="1" x14ac:dyDescent="0.3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</row>
    <row r="538" spans="1:48" ht="15.75" customHeight="1" x14ac:dyDescent="0.3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</row>
    <row r="539" spans="1:48" ht="15.75" customHeight="1" x14ac:dyDescent="0.3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</row>
    <row r="540" spans="1:48" ht="15.75" customHeight="1" x14ac:dyDescent="0.3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</row>
    <row r="541" spans="1:48" ht="15.75" customHeight="1" x14ac:dyDescent="0.3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</row>
    <row r="542" spans="1:48" ht="15.75" customHeight="1" x14ac:dyDescent="0.3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</row>
    <row r="543" spans="1:48" ht="15.75" customHeight="1" x14ac:dyDescent="0.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</row>
    <row r="544" spans="1:48" ht="15.75" customHeight="1" x14ac:dyDescent="0.3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</row>
    <row r="545" spans="1:48" ht="15.75" customHeight="1" x14ac:dyDescent="0.3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</row>
    <row r="546" spans="1:48" ht="15.75" customHeight="1" x14ac:dyDescent="0.3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</row>
    <row r="547" spans="1:48" ht="15.75" customHeight="1" x14ac:dyDescent="0.3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</row>
    <row r="548" spans="1:48" ht="15.75" customHeight="1" x14ac:dyDescent="0.3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</row>
    <row r="549" spans="1:48" ht="15.75" customHeight="1" x14ac:dyDescent="0.3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</row>
    <row r="550" spans="1:48" ht="15.75" customHeight="1" x14ac:dyDescent="0.3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</row>
    <row r="551" spans="1:48" ht="15.75" customHeight="1" x14ac:dyDescent="0.3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</row>
    <row r="552" spans="1:48" ht="15.75" customHeight="1" x14ac:dyDescent="0.3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</row>
    <row r="553" spans="1:48" ht="15.75" customHeight="1" x14ac:dyDescent="0.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</row>
    <row r="554" spans="1:48" ht="15.75" customHeight="1" x14ac:dyDescent="0.3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</row>
    <row r="555" spans="1:48" ht="15.75" customHeight="1" x14ac:dyDescent="0.3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</row>
    <row r="556" spans="1:48" ht="15.75" customHeight="1" x14ac:dyDescent="0.3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</row>
    <row r="557" spans="1:48" ht="15.75" customHeight="1" x14ac:dyDescent="0.3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</row>
    <row r="558" spans="1:48" ht="15.75" customHeight="1" x14ac:dyDescent="0.3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</row>
    <row r="559" spans="1:48" ht="15.75" customHeight="1" x14ac:dyDescent="0.3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</row>
    <row r="560" spans="1:48" ht="15.75" customHeight="1" x14ac:dyDescent="0.3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</row>
    <row r="561" spans="1:48" ht="15.75" customHeight="1" x14ac:dyDescent="0.3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</row>
    <row r="562" spans="1:48" ht="15.75" customHeight="1" x14ac:dyDescent="0.3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</row>
    <row r="563" spans="1:48" ht="15.75" customHeight="1" x14ac:dyDescent="0.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</row>
    <row r="564" spans="1:48" ht="15.75" customHeight="1" x14ac:dyDescent="0.3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</row>
    <row r="565" spans="1:48" ht="15.75" customHeight="1" x14ac:dyDescent="0.3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</row>
    <row r="566" spans="1:48" ht="15.75" customHeight="1" x14ac:dyDescent="0.3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</row>
    <row r="567" spans="1:48" ht="15.75" customHeight="1" x14ac:dyDescent="0.3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</row>
    <row r="568" spans="1:48" ht="15.75" customHeight="1" x14ac:dyDescent="0.3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</row>
    <row r="569" spans="1:48" ht="15.75" customHeight="1" x14ac:dyDescent="0.3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</row>
    <row r="570" spans="1:48" ht="15.75" customHeight="1" x14ac:dyDescent="0.3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</row>
    <row r="571" spans="1:48" ht="15.75" customHeight="1" x14ac:dyDescent="0.3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</row>
    <row r="572" spans="1:48" ht="15.75" customHeight="1" x14ac:dyDescent="0.3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</row>
    <row r="573" spans="1:48" ht="15.75" customHeight="1" x14ac:dyDescent="0.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</row>
    <row r="574" spans="1:48" ht="15.75" customHeight="1" x14ac:dyDescent="0.3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</row>
    <row r="575" spans="1:48" ht="15.75" customHeight="1" x14ac:dyDescent="0.3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</row>
    <row r="576" spans="1:48" ht="15.75" customHeight="1" x14ac:dyDescent="0.3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</row>
    <row r="577" spans="1:48" ht="15.75" customHeight="1" x14ac:dyDescent="0.3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</row>
    <row r="578" spans="1:48" ht="15.75" customHeight="1" x14ac:dyDescent="0.3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</row>
    <row r="579" spans="1:48" ht="15.75" customHeight="1" x14ac:dyDescent="0.3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</row>
    <row r="580" spans="1:48" ht="15.75" customHeight="1" x14ac:dyDescent="0.3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</row>
    <row r="581" spans="1:48" ht="15.75" customHeight="1" x14ac:dyDescent="0.3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</row>
    <row r="582" spans="1:48" ht="15.75" customHeight="1" x14ac:dyDescent="0.3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</row>
    <row r="583" spans="1:48" ht="15.75" customHeight="1" x14ac:dyDescent="0.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</row>
    <row r="584" spans="1:48" ht="15.75" customHeight="1" x14ac:dyDescent="0.3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</row>
    <row r="585" spans="1:48" ht="15.75" customHeight="1" x14ac:dyDescent="0.3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</row>
    <row r="586" spans="1:48" ht="15.75" customHeight="1" x14ac:dyDescent="0.3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</row>
    <row r="587" spans="1:48" ht="15.75" customHeight="1" x14ac:dyDescent="0.3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</row>
    <row r="588" spans="1:48" ht="15.75" customHeight="1" x14ac:dyDescent="0.3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</row>
    <row r="589" spans="1:48" ht="15.75" customHeight="1" x14ac:dyDescent="0.3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</row>
    <row r="590" spans="1:48" ht="15.75" customHeight="1" x14ac:dyDescent="0.3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</row>
    <row r="591" spans="1:48" ht="15.75" customHeight="1" x14ac:dyDescent="0.3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</row>
    <row r="592" spans="1:48" ht="15.75" customHeight="1" x14ac:dyDescent="0.3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</row>
    <row r="593" spans="1:48" ht="15.75" customHeight="1" x14ac:dyDescent="0.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</row>
    <row r="594" spans="1:48" ht="15.75" customHeight="1" x14ac:dyDescent="0.3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</row>
    <row r="595" spans="1:48" ht="15.75" customHeight="1" x14ac:dyDescent="0.3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</row>
    <row r="596" spans="1:48" ht="15.75" customHeight="1" x14ac:dyDescent="0.3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</row>
    <row r="597" spans="1:48" ht="15.75" customHeight="1" x14ac:dyDescent="0.3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</row>
    <row r="598" spans="1:48" ht="15.75" customHeight="1" x14ac:dyDescent="0.3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</row>
    <row r="599" spans="1:48" ht="15.75" customHeight="1" x14ac:dyDescent="0.3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</row>
    <row r="600" spans="1:48" ht="15.75" customHeight="1" x14ac:dyDescent="0.3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</row>
    <row r="601" spans="1:48" ht="15.75" customHeight="1" x14ac:dyDescent="0.3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</row>
    <row r="602" spans="1:48" ht="15.75" customHeight="1" x14ac:dyDescent="0.3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</row>
    <row r="603" spans="1:48" ht="15.75" customHeight="1" x14ac:dyDescent="0.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</row>
    <row r="604" spans="1:48" ht="15.75" customHeight="1" x14ac:dyDescent="0.3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</row>
    <row r="605" spans="1:48" ht="15.75" customHeight="1" x14ac:dyDescent="0.3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</row>
    <row r="606" spans="1:48" ht="15.75" customHeight="1" x14ac:dyDescent="0.3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</row>
    <row r="607" spans="1:48" ht="15.75" customHeight="1" x14ac:dyDescent="0.3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</row>
    <row r="608" spans="1:48" ht="15.75" customHeight="1" x14ac:dyDescent="0.3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</row>
    <row r="609" spans="1:48" ht="15.75" customHeight="1" x14ac:dyDescent="0.3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</row>
    <row r="610" spans="1:48" ht="15.75" customHeight="1" x14ac:dyDescent="0.3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</row>
    <row r="611" spans="1:48" ht="15.75" customHeight="1" x14ac:dyDescent="0.3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</row>
    <row r="612" spans="1:48" ht="15.75" customHeight="1" x14ac:dyDescent="0.3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</row>
    <row r="613" spans="1:48" ht="15.75" customHeight="1" x14ac:dyDescent="0.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</row>
    <row r="614" spans="1:48" ht="15.75" customHeight="1" x14ac:dyDescent="0.3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</row>
    <row r="615" spans="1:48" ht="15.75" customHeight="1" x14ac:dyDescent="0.3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</row>
    <row r="616" spans="1:48" ht="15.75" customHeight="1" x14ac:dyDescent="0.3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</row>
    <row r="617" spans="1:48" ht="15.75" customHeight="1" x14ac:dyDescent="0.3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</row>
    <row r="618" spans="1:48" ht="15.75" customHeight="1" x14ac:dyDescent="0.3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</row>
    <row r="619" spans="1:48" ht="15.75" customHeight="1" x14ac:dyDescent="0.3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</row>
    <row r="620" spans="1:48" ht="15.75" customHeight="1" x14ac:dyDescent="0.3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</row>
    <row r="621" spans="1:48" ht="15.75" customHeight="1" x14ac:dyDescent="0.3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</row>
    <row r="622" spans="1:48" ht="15.75" customHeight="1" x14ac:dyDescent="0.3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</row>
    <row r="623" spans="1:48" ht="15.75" customHeight="1" x14ac:dyDescent="0.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</row>
    <row r="624" spans="1:48" ht="15.75" customHeight="1" x14ac:dyDescent="0.3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</row>
    <row r="625" spans="1:48" ht="15.75" customHeight="1" x14ac:dyDescent="0.3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</row>
    <row r="626" spans="1:48" ht="15.75" customHeight="1" x14ac:dyDescent="0.3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</row>
    <row r="627" spans="1:48" ht="15.75" customHeight="1" x14ac:dyDescent="0.3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</row>
    <row r="628" spans="1:48" ht="15.75" customHeight="1" x14ac:dyDescent="0.3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</row>
    <row r="629" spans="1:48" ht="15.75" customHeight="1" x14ac:dyDescent="0.3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</row>
    <row r="630" spans="1:48" ht="15.75" customHeight="1" x14ac:dyDescent="0.3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</row>
    <row r="631" spans="1:48" ht="15.75" customHeight="1" x14ac:dyDescent="0.3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</row>
    <row r="632" spans="1:48" ht="15.75" customHeight="1" x14ac:dyDescent="0.3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</row>
    <row r="633" spans="1:48" ht="15.75" customHeight="1" x14ac:dyDescent="0.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</row>
    <row r="634" spans="1:48" ht="15.75" customHeight="1" x14ac:dyDescent="0.3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</row>
    <row r="635" spans="1:48" ht="15.75" customHeight="1" x14ac:dyDescent="0.3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</row>
    <row r="636" spans="1:48" ht="15.75" customHeight="1" x14ac:dyDescent="0.3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</row>
    <row r="637" spans="1:48" ht="15.75" customHeight="1" x14ac:dyDescent="0.3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</row>
    <row r="638" spans="1:48" ht="15.75" customHeight="1" x14ac:dyDescent="0.3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</row>
    <row r="639" spans="1:48" ht="15.75" customHeight="1" x14ac:dyDescent="0.3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</row>
    <row r="640" spans="1:48" ht="15.75" customHeight="1" x14ac:dyDescent="0.3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</row>
    <row r="641" spans="1:48" ht="15.75" customHeight="1" x14ac:dyDescent="0.3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</row>
    <row r="642" spans="1:48" ht="15.75" customHeight="1" x14ac:dyDescent="0.3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</row>
    <row r="643" spans="1:48" ht="15.75" customHeight="1" x14ac:dyDescent="0.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</row>
    <row r="644" spans="1:48" ht="15.75" customHeight="1" x14ac:dyDescent="0.3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</row>
    <row r="645" spans="1:48" ht="15.75" customHeight="1" x14ac:dyDescent="0.3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</row>
    <row r="646" spans="1:48" ht="15.75" customHeight="1" x14ac:dyDescent="0.3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</row>
    <row r="647" spans="1:48" ht="15.75" customHeight="1" x14ac:dyDescent="0.3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</row>
    <row r="648" spans="1:48" ht="15.75" customHeight="1" x14ac:dyDescent="0.3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</row>
    <row r="649" spans="1:48" ht="15.75" customHeight="1" x14ac:dyDescent="0.3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</row>
    <row r="650" spans="1:48" ht="15.75" customHeight="1" x14ac:dyDescent="0.3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</row>
    <row r="651" spans="1:48" ht="15.75" customHeight="1" x14ac:dyDescent="0.3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</row>
    <row r="652" spans="1:48" ht="15.75" customHeight="1" x14ac:dyDescent="0.3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</row>
    <row r="653" spans="1:48" ht="15.75" customHeight="1" x14ac:dyDescent="0.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</row>
    <row r="654" spans="1:48" ht="15.75" customHeight="1" x14ac:dyDescent="0.3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</row>
    <row r="655" spans="1:48" ht="15.75" customHeight="1" x14ac:dyDescent="0.3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</row>
    <row r="656" spans="1:48" ht="15.75" customHeight="1" x14ac:dyDescent="0.3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</row>
    <row r="657" spans="1:48" ht="15.75" customHeight="1" x14ac:dyDescent="0.3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</row>
    <row r="658" spans="1:48" ht="15.75" customHeight="1" x14ac:dyDescent="0.3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</row>
    <row r="659" spans="1:48" ht="15.75" customHeight="1" x14ac:dyDescent="0.3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</row>
    <row r="660" spans="1:48" ht="15.75" customHeight="1" x14ac:dyDescent="0.3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</row>
    <row r="661" spans="1:48" ht="15.75" customHeight="1" x14ac:dyDescent="0.3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</row>
    <row r="662" spans="1:48" ht="15.75" customHeight="1" x14ac:dyDescent="0.3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</row>
    <row r="663" spans="1:48" ht="15.75" customHeight="1" x14ac:dyDescent="0.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</row>
    <row r="664" spans="1:48" ht="15.75" customHeight="1" x14ac:dyDescent="0.3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</row>
    <row r="665" spans="1:48" ht="15.75" customHeight="1" x14ac:dyDescent="0.3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</row>
    <row r="666" spans="1:48" ht="15.75" customHeight="1" x14ac:dyDescent="0.3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</row>
    <row r="667" spans="1:48" ht="15.75" customHeight="1" x14ac:dyDescent="0.3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</row>
    <row r="668" spans="1:48" ht="15.75" customHeight="1" x14ac:dyDescent="0.3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</row>
    <row r="669" spans="1:48" ht="15.75" customHeight="1" x14ac:dyDescent="0.3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</row>
    <row r="670" spans="1:48" ht="15.75" customHeight="1" x14ac:dyDescent="0.3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</row>
    <row r="671" spans="1:48" ht="15.75" customHeight="1" x14ac:dyDescent="0.3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</row>
    <row r="672" spans="1:48" ht="15.75" customHeight="1" x14ac:dyDescent="0.3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</row>
    <row r="673" spans="1:48" ht="15.75" customHeight="1" x14ac:dyDescent="0.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</row>
    <row r="674" spans="1:48" ht="15.75" customHeight="1" x14ac:dyDescent="0.3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</row>
    <row r="675" spans="1:48" ht="15.75" customHeight="1" x14ac:dyDescent="0.3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</row>
    <row r="676" spans="1:48" ht="15.75" customHeight="1" x14ac:dyDescent="0.3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</row>
    <row r="677" spans="1:48" ht="15.75" customHeight="1" x14ac:dyDescent="0.3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</row>
    <row r="678" spans="1:48" ht="15.75" customHeight="1" x14ac:dyDescent="0.3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</row>
    <row r="679" spans="1:48" ht="15.75" customHeight="1" x14ac:dyDescent="0.3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</row>
    <row r="680" spans="1:48" ht="15.75" customHeight="1" x14ac:dyDescent="0.3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</row>
    <row r="681" spans="1:48" ht="15.75" customHeight="1" x14ac:dyDescent="0.3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</row>
    <row r="682" spans="1:48" ht="15.75" customHeight="1" x14ac:dyDescent="0.3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</row>
    <row r="683" spans="1:48" ht="15.75" customHeight="1" x14ac:dyDescent="0.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</row>
    <row r="684" spans="1:48" ht="15.75" customHeight="1" x14ac:dyDescent="0.3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</row>
    <row r="685" spans="1:48" ht="15.75" customHeight="1" x14ac:dyDescent="0.3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</row>
    <row r="686" spans="1:48" ht="15.75" customHeight="1" x14ac:dyDescent="0.3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</row>
    <row r="687" spans="1:48" ht="15.75" customHeight="1" x14ac:dyDescent="0.3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</row>
    <row r="688" spans="1:48" ht="15.75" customHeight="1" x14ac:dyDescent="0.3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</row>
    <row r="689" spans="1:48" ht="15.75" customHeight="1" x14ac:dyDescent="0.3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</row>
    <row r="690" spans="1:48" ht="15.75" customHeight="1" x14ac:dyDescent="0.3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</row>
    <row r="691" spans="1:48" ht="15.75" customHeight="1" x14ac:dyDescent="0.3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</row>
    <row r="692" spans="1:48" ht="15.75" customHeight="1" x14ac:dyDescent="0.3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</row>
    <row r="693" spans="1:48" ht="15.75" customHeight="1" x14ac:dyDescent="0.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</row>
    <row r="694" spans="1:48" ht="15.75" customHeight="1" x14ac:dyDescent="0.3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</row>
    <row r="695" spans="1:48" ht="15.75" customHeight="1" x14ac:dyDescent="0.3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</row>
    <row r="696" spans="1:48" ht="15.75" customHeight="1" x14ac:dyDescent="0.3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</row>
    <row r="697" spans="1:48" ht="15.75" customHeight="1" x14ac:dyDescent="0.3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</row>
    <row r="698" spans="1:48" ht="15.75" customHeight="1" x14ac:dyDescent="0.3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</row>
    <row r="699" spans="1:48" ht="15.75" customHeight="1" x14ac:dyDescent="0.3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</row>
    <row r="700" spans="1:48" ht="15.75" customHeight="1" x14ac:dyDescent="0.3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</row>
    <row r="701" spans="1:48" ht="15.75" customHeight="1" x14ac:dyDescent="0.3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</row>
    <row r="702" spans="1:48" ht="15.75" customHeight="1" x14ac:dyDescent="0.3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</row>
    <row r="703" spans="1:48" ht="15.75" customHeight="1" x14ac:dyDescent="0.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</row>
    <row r="704" spans="1:48" ht="15.75" customHeight="1" x14ac:dyDescent="0.3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</row>
    <row r="705" spans="1:48" ht="15.75" customHeight="1" x14ac:dyDescent="0.3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</row>
    <row r="706" spans="1:48" ht="15.75" customHeight="1" x14ac:dyDescent="0.3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</row>
    <row r="707" spans="1:48" ht="15.75" customHeight="1" x14ac:dyDescent="0.3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</row>
    <row r="708" spans="1:48" ht="15.75" customHeight="1" x14ac:dyDescent="0.3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</row>
    <row r="709" spans="1:48" ht="15.75" customHeight="1" x14ac:dyDescent="0.3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</row>
    <row r="710" spans="1:48" ht="15.75" customHeight="1" x14ac:dyDescent="0.3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</row>
    <row r="711" spans="1:48" ht="15.75" customHeight="1" x14ac:dyDescent="0.3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</row>
    <row r="712" spans="1:48" ht="15.75" customHeight="1" x14ac:dyDescent="0.3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</row>
    <row r="713" spans="1:48" ht="15.75" customHeight="1" x14ac:dyDescent="0.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</row>
    <row r="714" spans="1:48" ht="15.75" customHeight="1" x14ac:dyDescent="0.3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</row>
    <row r="715" spans="1:48" ht="15.75" customHeight="1" x14ac:dyDescent="0.3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</row>
    <row r="716" spans="1:48" ht="15.75" customHeight="1" x14ac:dyDescent="0.3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</row>
    <row r="717" spans="1:48" ht="15.75" customHeight="1" x14ac:dyDescent="0.3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</row>
    <row r="718" spans="1:48" ht="15.75" customHeight="1" x14ac:dyDescent="0.3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</row>
    <row r="719" spans="1:48" ht="15.75" customHeight="1" x14ac:dyDescent="0.3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</row>
    <row r="720" spans="1:48" ht="15.75" customHeight="1" x14ac:dyDescent="0.3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</row>
    <row r="721" spans="1:48" ht="15.75" customHeight="1" x14ac:dyDescent="0.3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</row>
    <row r="722" spans="1:48" ht="15.75" customHeight="1" x14ac:dyDescent="0.3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</row>
    <row r="723" spans="1:48" ht="15.75" customHeight="1" x14ac:dyDescent="0.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</row>
    <row r="724" spans="1:48" ht="15.75" customHeight="1" x14ac:dyDescent="0.3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</row>
    <row r="725" spans="1:48" ht="15.75" customHeight="1" x14ac:dyDescent="0.3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</row>
    <row r="726" spans="1:48" ht="15.75" customHeight="1" x14ac:dyDescent="0.3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</row>
    <row r="727" spans="1:48" ht="15.75" customHeight="1" x14ac:dyDescent="0.3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</row>
    <row r="728" spans="1:48" ht="15.75" customHeight="1" x14ac:dyDescent="0.3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</row>
    <row r="729" spans="1:48" ht="15.75" customHeight="1" x14ac:dyDescent="0.3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</row>
    <row r="730" spans="1:48" ht="15.75" customHeight="1" x14ac:dyDescent="0.3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</row>
    <row r="731" spans="1:48" ht="15.75" customHeight="1" x14ac:dyDescent="0.3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</row>
    <row r="732" spans="1:48" ht="15.75" customHeight="1" x14ac:dyDescent="0.3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</row>
    <row r="733" spans="1:48" ht="15.75" customHeight="1" x14ac:dyDescent="0.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</row>
    <row r="734" spans="1:48" ht="15.75" customHeight="1" x14ac:dyDescent="0.3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</row>
    <row r="735" spans="1:48" ht="15.75" customHeight="1" x14ac:dyDescent="0.3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</row>
    <row r="736" spans="1:48" ht="15.75" customHeight="1" x14ac:dyDescent="0.3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</row>
    <row r="737" spans="1:48" ht="15.75" customHeight="1" x14ac:dyDescent="0.3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</row>
    <row r="738" spans="1:48" ht="15.75" customHeight="1" x14ac:dyDescent="0.3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</row>
    <row r="739" spans="1:48" ht="15.75" customHeight="1" x14ac:dyDescent="0.3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</row>
    <row r="740" spans="1:48" ht="15.75" customHeight="1" x14ac:dyDescent="0.3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</row>
    <row r="741" spans="1:48" ht="15.75" customHeight="1" x14ac:dyDescent="0.3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</row>
    <row r="742" spans="1:48" ht="15.75" customHeight="1" x14ac:dyDescent="0.3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</row>
    <row r="743" spans="1:48" ht="15.75" customHeight="1" x14ac:dyDescent="0.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</row>
    <row r="744" spans="1:48" ht="15.75" customHeight="1" x14ac:dyDescent="0.3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</row>
    <row r="745" spans="1:48" ht="15.75" customHeight="1" x14ac:dyDescent="0.3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</row>
    <row r="746" spans="1:48" ht="15.75" customHeight="1" x14ac:dyDescent="0.3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</row>
    <row r="747" spans="1:48" ht="15.75" customHeight="1" x14ac:dyDescent="0.3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</row>
    <row r="748" spans="1:48" ht="15.75" customHeight="1" x14ac:dyDescent="0.3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</row>
    <row r="749" spans="1:48" ht="15.75" customHeight="1" x14ac:dyDescent="0.3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</row>
    <row r="750" spans="1:48" ht="15.75" customHeight="1" x14ac:dyDescent="0.3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</row>
    <row r="751" spans="1:48" ht="15.75" customHeight="1" x14ac:dyDescent="0.3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</row>
    <row r="752" spans="1:48" ht="15.75" customHeight="1" x14ac:dyDescent="0.3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</row>
    <row r="753" spans="1:48" ht="15.75" customHeight="1" x14ac:dyDescent="0.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</row>
    <row r="754" spans="1:48" ht="15.75" customHeight="1" x14ac:dyDescent="0.3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</row>
    <row r="755" spans="1:48" ht="15.75" customHeight="1" x14ac:dyDescent="0.3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</row>
    <row r="756" spans="1:48" ht="15.75" customHeight="1" x14ac:dyDescent="0.3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</row>
    <row r="757" spans="1:48" ht="15.75" customHeight="1" x14ac:dyDescent="0.3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</row>
    <row r="758" spans="1:48" ht="15.75" customHeight="1" x14ac:dyDescent="0.3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</row>
    <row r="759" spans="1:48" ht="15.75" customHeight="1" x14ac:dyDescent="0.3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</row>
    <row r="760" spans="1:48" ht="15.75" customHeight="1" x14ac:dyDescent="0.3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</row>
    <row r="761" spans="1:48" ht="15.75" customHeight="1" x14ac:dyDescent="0.3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</row>
    <row r="762" spans="1:48" ht="15.75" customHeight="1" x14ac:dyDescent="0.3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</row>
    <row r="763" spans="1:48" ht="15.75" customHeight="1" x14ac:dyDescent="0.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</row>
    <row r="764" spans="1:48" ht="15.75" customHeight="1" x14ac:dyDescent="0.3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</row>
    <row r="765" spans="1:48" ht="15.75" customHeight="1" x14ac:dyDescent="0.3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</row>
    <row r="766" spans="1:48" ht="15.75" customHeight="1" x14ac:dyDescent="0.3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</row>
    <row r="767" spans="1:48" ht="15.75" customHeight="1" x14ac:dyDescent="0.3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</row>
    <row r="768" spans="1:48" ht="15.75" customHeight="1" x14ac:dyDescent="0.3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</row>
    <row r="769" spans="1:48" ht="15.75" customHeight="1" x14ac:dyDescent="0.3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</row>
    <row r="770" spans="1:48" ht="15.75" customHeight="1" x14ac:dyDescent="0.3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</row>
    <row r="771" spans="1:48" ht="15.75" customHeight="1" x14ac:dyDescent="0.3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</row>
    <row r="772" spans="1:48" ht="15.75" customHeight="1" x14ac:dyDescent="0.3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</row>
    <row r="773" spans="1:48" ht="15.75" customHeight="1" x14ac:dyDescent="0.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</row>
    <row r="774" spans="1:48" ht="15.75" customHeight="1" x14ac:dyDescent="0.3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</row>
    <row r="775" spans="1:48" ht="15.75" customHeight="1" x14ac:dyDescent="0.3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</row>
    <row r="776" spans="1:48" ht="15.75" customHeight="1" x14ac:dyDescent="0.3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</row>
    <row r="777" spans="1:48" ht="15.75" customHeight="1" x14ac:dyDescent="0.3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</row>
    <row r="778" spans="1:48" ht="15.75" customHeight="1" x14ac:dyDescent="0.3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</row>
    <row r="779" spans="1:48" ht="15.75" customHeight="1" x14ac:dyDescent="0.3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</row>
    <row r="780" spans="1:48" ht="15.75" customHeight="1" x14ac:dyDescent="0.3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</row>
    <row r="781" spans="1:48" ht="15.75" customHeight="1" x14ac:dyDescent="0.3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</row>
    <row r="782" spans="1:48" ht="15.75" customHeight="1" x14ac:dyDescent="0.3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</row>
    <row r="783" spans="1:48" ht="15.75" customHeight="1" x14ac:dyDescent="0.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</row>
    <row r="784" spans="1:48" ht="15.75" customHeight="1" x14ac:dyDescent="0.3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</row>
    <row r="785" spans="1:48" ht="15.75" customHeight="1" x14ac:dyDescent="0.3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</row>
    <row r="786" spans="1:48" ht="15.75" customHeight="1" x14ac:dyDescent="0.3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</row>
    <row r="787" spans="1:48" ht="15.75" customHeight="1" x14ac:dyDescent="0.3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</row>
    <row r="788" spans="1:48" ht="15.75" customHeight="1" x14ac:dyDescent="0.3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</row>
    <row r="789" spans="1:48" ht="15.75" customHeight="1" x14ac:dyDescent="0.3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</row>
    <row r="790" spans="1:48" ht="15.75" customHeight="1" x14ac:dyDescent="0.3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</row>
    <row r="791" spans="1:48" ht="15.75" customHeight="1" x14ac:dyDescent="0.3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</row>
    <row r="792" spans="1:48" ht="15.75" customHeight="1" x14ac:dyDescent="0.3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</row>
    <row r="793" spans="1:48" ht="15.75" customHeight="1" x14ac:dyDescent="0.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</row>
    <row r="794" spans="1:48" ht="15.75" customHeight="1" x14ac:dyDescent="0.3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</row>
    <row r="795" spans="1:48" ht="15.75" customHeight="1" x14ac:dyDescent="0.3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</row>
    <row r="796" spans="1:48" ht="15.75" customHeight="1" x14ac:dyDescent="0.3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</row>
    <row r="797" spans="1:48" ht="15.75" customHeight="1" x14ac:dyDescent="0.3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</row>
    <row r="798" spans="1:48" ht="15.75" customHeight="1" x14ac:dyDescent="0.3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</row>
    <row r="799" spans="1:48" ht="15.75" customHeight="1" x14ac:dyDescent="0.3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</row>
    <row r="800" spans="1:48" ht="15.75" customHeight="1" x14ac:dyDescent="0.3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</row>
    <row r="801" spans="1:48" ht="15.75" customHeight="1" x14ac:dyDescent="0.3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</row>
    <row r="802" spans="1:48" ht="15.75" customHeight="1" x14ac:dyDescent="0.3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</row>
    <row r="803" spans="1:48" ht="15.75" customHeight="1" x14ac:dyDescent="0.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</row>
    <row r="804" spans="1:48" ht="15.75" customHeight="1" x14ac:dyDescent="0.3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</row>
    <row r="805" spans="1:48" ht="15.75" customHeight="1" x14ac:dyDescent="0.3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</row>
    <row r="806" spans="1:48" ht="15.75" customHeight="1" x14ac:dyDescent="0.3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</row>
    <row r="807" spans="1:48" ht="15.75" customHeight="1" x14ac:dyDescent="0.3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</row>
    <row r="808" spans="1:48" ht="15.75" customHeight="1" x14ac:dyDescent="0.3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</row>
    <row r="809" spans="1:48" ht="15.75" customHeight="1" x14ac:dyDescent="0.3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</row>
    <row r="810" spans="1:48" ht="15.75" customHeight="1" x14ac:dyDescent="0.3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</row>
    <row r="811" spans="1:48" ht="15.75" customHeight="1" x14ac:dyDescent="0.3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</row>
    <row r="812" spans="1:48" ht="15.75" customHeight="1" x14ac:dyDescent="0.3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</row>
    <row r="813" spans="1:48" ht="15.75" customHeight="1" x14ac:dyDescent="0.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</row>
    <row r="814" spans="1:48" ht="15.75" customHeight="1" x14ac:dyDescent="0.3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</row>
    <row r="815" spans="1:48" ht="15.75" customHeight="1" x14ac:dyDescent="0.3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</row>
    <row r="816" spans="1:48" ht="15.75" customHeight="1" x14ac:dyDescent="0.3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</row>
    <row r="817" spans="1:48" ht="15.75" customHeight="1" x14ac:dyDescent="0.3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</row>
    <row r="818" spans="1:48" ht="15.75" customHeight="1" x14ac:dyDescent="0.3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</row>
    <row r="819" spans="1:48" ht="15.75" customHeight="1" x14ac:dyDescent="0.3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</row>
    <row r="820" spans="1:48" ht="15.75" customHeight="1" x14ac:dyDescent="0.3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</row>
    <row r="821" spans="1:48" ht="15.75" customHeight="1" x14ac:dyDescent="0.3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</row>
    <row r="822" spans="1:48" ht="15.75" customHeight="1" x14ac:dyDescent="0.3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</row>
    <row r="823" spans="1:48" ht="15.75" customHeight="1" x14ac:dyDescent="0.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</row>
    <row r="824" spans="1:48" ht="15.75" customHeight="1" x14ac:dyDescent="0.3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</row>
    <row r="825" spans="1:48" ht="15.75" customHeight="1" x14ac:dyDescent="0.3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</row>
    <row r="826" spans="1:48" ht="15.75" customHeight="1" x14ac:dyDescent="0.3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</row>
    <row r="827" spans="1:48" ht="15.75" customHeight="1" x14ac:dyDescent="0.3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</row>
    <row r="828" spans="1:48" ht="15.75" customHeight="1" x14ac:dyDescent="0.3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</row>
    <row r="829" spans="1:48" ht="15.75" customHeight="1" x14ac:dyDescent="0.3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</row>
    <row r="830" spans="1:48" ht="15.75" customHeight="1" x14ac:dyDescent="0.3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</row>
    <row r="831" spans="1:48" ht="15.75" customHeight="1" x14ac:dyDescent="0.3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</row>
    <row r="832" spans="1:48" ht="15.75" customHeight="1" x14ac:dyDescent="0.3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</row>
    <row r="833" spans="1:48" ht="15.75" customHeight="1" x14ac:dyDescent="0.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</row>
    <row r="834" spans="1:48" ht="15.75" customHeight="1" x14ac:dyDescent="0.3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</row>
    <row r="835" spans="1:48" ht="15.75" customHeight="1" x14ac:dyDescent="0.3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</row>
    <row r="836" spans="1:48" ht="15.75" customHeight="1" x14ac:dyDescent="0.3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</row>
    <row r="837" spans="1:48" ht="15.75" customHeight="1" x14ac:dyDescent="0.3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</row>
    <row r="838" spans="1:48" ht="15.75" customHeight="1" x14ac:dyDescent="0.3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</row>
    <row r="839" spans="1:48" ht="15.75" customHeight="1" x14ac:dyDescent="0.3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</row>
    <row r="840" spans="1:48" ht="15.75" customHeight="1" x14ac:dyDescent="0.3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</row>
    <row r="841" spans="1:48" ht="15.75" customHeight="1" x14ac:dyDescent="0.3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</row>
    <row r="842" spans="1:48" ht="15.75" customHeight="1" x14ac:dyDescent="0.3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</row>
    <row r="843" spans="1:48" ht="15.75" customHeight="1" x14ac:dyDescent="0.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</row>
    <row r="844" spans="1:48" ht="15.75" customHeight="1" x14ac:dyDescent="0.3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</row>
    <row r="845" spans="1:48" ht="15.75" customHeight="1" x14ac:dyDescent="0.3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</row>
    <row r="846" spans="1:48" ht="15.75" customHeight="1" x14ac:dyDescent="0.3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</row>
    <row r="847" spans="1:48" ht="15.75" customHeight="1" x14ac:dyDescent="0.3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</row>
    <row r="848" spans="1:48" ht="15.75" customHeight="1" x14ac:dyDescent="0.3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</row>
    <row r="849" spans="1:48" ht="15.75" customHeight="1" x14ac:dyDescent="0.3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</row>
    <row r="850" spans="1:48" ht="15.75" customHeight="1" x14ac:dyDescent="0.3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</row>
    <row r="851" spans="1:48" ht="15.75" customHeight="1" x14ac:dyDescent="0.3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</row>
    <row r="852" spans="1:48" ht="15.75" customHeight="1" x14ac:dyDescent="0.3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</row>
    <row r="853" spans="1:48" ht="15.75" customHeight="1" x14ac:dyDescent="0.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</row>
    <row r="854" spans="1:48" ht="15.75" customHeight="1" x14ac:dyDescent="0.3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</row>
    <row r="855" spans="1:48" ht="15.75" customHeight="1" x14ac:dyDescent="0.3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</row>
    <row r="856" spans="1:48" ht="15.75" customHeight="1" x14ac:dyDescent="0.3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</row>
    <row r="857" spans="1:48" ht="15.75" customHeight="1" x14ac:dyDescent="0.3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</row>
    <row r="858" spans="1:48" ht="15.75" customHeight="1" x14ac:dyDescent="0.3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</row>
    <row r="859" spans="1:48" ht="15.75" customHeight="1" x14ac:dyDescent="0.3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</row>
    <row r="860" spans="1:48" ht="15.75" customHeight="1" x14ac:dyDescent="0.3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</row>
    <row r="861" spans="1:48" ht="15.75" customHeight="1" x14ac:dyDescent="0.3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</row>
    <row r="862" spans="1:48" ht="15.75" customHeight="1" x14ac:dyDescent="0.3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</row>
    <row r="863" spans="1:48" ht="15.75" customHeight="1" x14ac:dyDescent="0.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</row>
    <row r="864" spans="1:48" ht="15.75" customHeight="1" x14ac:dyDescent="0.3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</row>
    <row r="865" spans="1:48" ht="15.75" customHeight="1" x14ac:dyDescent="0.3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</row>
    <row r="866" spans="1:48" ht="15.75" customHeight="1" x14ac:dyDescent="0.3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</row>
    <row r="867" spans="1:48" ht="15.75" customHeight="1" x14ac:dyDescent="0.3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</row>
    <row r="868" spans="1:48" ht="15.75" customHeight="1" x14ac:dyDescent="0.3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</row>
    <row r="869" spans="1:48" ht="15.75" customHeight="1" x14ac:dyDescent="0.3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</row>
    <row r="870" spans="1:48" ht="15.75" customHeight="1" x14ac:dyDescent="0.3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</row>
    <row r="871" spans="1:48" ht="15.75" customHeight="1" x14ac:dyDescent="0.3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</row>
    <row r="872" spans="1:48" ht="15.75" customHeight="1" x14ac:dyDescent="0.3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</row>
    <row r="873" spans="1:48" ht="15.75" customHeight="1" x14ac:dyDescent="0.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</row>
    <row r="874" spans="1:48" ht="15.75" customHeight="1" x14ac:dyDescent="0.3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</row>
    <row r="875" spans="1:48" ht="15.75" customHeight="1" x14ac:dyDescent="0.3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</row>
    <row r="876" spans="1:48" ht="15.75" customHeight="1" x14ac:dyDescent="0.3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</row>
    <row r="877" spans="1:48" ht="15.75" customHeight="1" x14ac:dyDescent="0.3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</row>
    <row r="878" spans="1:48" ht="15.75" customHeight="1" x14ac:dyDescent="0.3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</row>
    <row r="879" spans="1:48" ht="15.75" customHeight="1" x14ac:dyDescent="0.3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</row>
    <row r="880" spans="1:48" ht="15.75" customHeight="1" x14ac:dyDescent="0.3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</row>
    <row r="881" spans="1:48" ht="15.75" customHeight="1" x14ac:dyDescent="0.3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</row>
    <row r="882" spans="1:48" ht="15.75" customHeight="1" x14ac:dyDescent="0.3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</row>
    <row r="883" spans="1:48" ht="15.75" customHeight="1" x14ac:dyDescent="0.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</row>
    <row r="884" spans="1:48" ht="15.75" customHeight="1" x14ac:dyDescent="0.3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</row>
    <row r="885" spans="1:48" ht="15.75" customHeight="1" x14ac:dyDescent="0.3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</row>
    <row r="886" spans="1:48" ht="15.75" customHeight="1" x14ac:dyDescent="0.3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</row>
    <row r="887" spans="1:48" ht="15.75" customHeight="1" x14ac:dyDescent="0.3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</row>
    <row r="888" spans="1:48" ht="15.75" customHeight="1" x14ac:dyDescent="0.3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</row>
    <row r="889" spans="1:48" ht="15.75" customHeight="1" x14ac:dyDescent="0.3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</row>
    <row r="890" spans="1:48" ht="15.75" customHeight="1" x14ac:dyDescent="0.3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</row>
    <row r="891" spans="1:48" ht="15.75" customHeight="1" x14ac:dyDescent="0.3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</row>
    <row r="892" spans="1:48" ht="15.75" customHeight="1" x14ac:dyDescent="0.3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</row>
    <row r="893" spans="1:48" ht="15.75" customHeight="1" x14ac:dyDescent="0.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</row>
    <row r="894" spans="1:48" ht="15.75" customHeight="1" x14ac:dyDescent="0.3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</row>
    <row r="895" spans="1:48" ht="15.75" customHeight="1" x14ac:dyDescent="0.3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</row>
    <row r="896" spans="1:48" ht="15.75" customHeight="1" x14ac:dyDescent="0.3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</row>
    <row r="897" spans="1:48" ht="15.75" customHeight="1" x14ac:dyDescent="0.3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</row>
    <row r="898" spans="1:48" ht="15.75" customHeight="1" x14ac:dyDescent="0.3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</row>
    <row r="899" spans="1:48" ht="15.75" customHeight="1" x14ac:dyDescent="0.3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</row>
    <row r="900" spans="1:48" ht="15.75" customHeight="1" x14ac:dyDescent="0.3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</row>
    <row r="901" spans="1:48" ht="15.75" customHeight="1" x14ac:dyDescent="0.3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</row>
    <row r="902" spans="1:48" ht="15.75" customHeight="1" x14ac:dyDescent="0.3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</row>
    <row r="903" spans="1:48" ht="15.75" customHeight="1" x14ac:dyDescent="0.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</row>
    <row r="904" spans="1:48" ht="15.75" customHeight="1" x14ac:dyDescent="0.3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</row>
    <row r="905" spans="1:48" ht="15.75" customHeight="1" x14ac:dyDescent="0.3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</row>
    <row r="906" spans="1:48" ht="15.75" customHeight="1" x14ac:dyDescent="0.3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</row>
    <row r="907" spans="1:48" ht="15.75" customHeight="1" x14ac:dyDescent="0.3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</row>
    <row r="908" spans="1:48" ht="15.75" customHeight="1" x14ac:dyDescent="0.3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</row>
    <row r="909" spans="1:48" ht="15.75" customHeight="1" x14ac:dyDescent="0.3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</row>
    <row r="910" spans="1:48" ht="15.75" customHeight="1" x14ac:dyDescent="0.3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</row>
    <row r="911" spans="1:48" ht="15.75" customHeight="1" x14ac:dyDescent="0.3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</row>
    <row r="912" spans="1:48" ht="15.75" customHeight="1" x14ac:dyDescent="0.3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</row>
    <row r="913" spans="1:48" ht="15.75" customHeight="1" x14ac:dyDescent="0.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</row>
    <row r="914" spans="1:48" ht="15.75" customHeight="1" x14ac:dyDescent="0.3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</row>
    <row r="915" spans="1:48" ht="15.75" customHeight="1" x14ac:dyDescent="0.3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</row>
    <row r="916" spans="1:48" ht="15.75" customHeight="1" x14ac:dyDescent="0.3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</row>
    <row r="917" spans="1:48" ht="15.75" customHeight="1" x14ac:dyDescent="0.3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</row>
    <row r="918" spans="1:48" ht="15.75" customHeight="1" x14ac:dyDescent="0.3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</row>
    <row r="919" spans="1:48" ht="15.75" customHeight="1" x14ac:dyDescent="0.3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</row>
    <row r="920" spans="1:48" ht="15.75" customHeight="1" x14ac:dyDescent="0.3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</row>
    <row r="921" spans="1:48" ht="15.75" customHeight="1" x14ac:dyDescent="0.3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</row>
    <row r="922" spans="1:48" ht="15.75" customHeight="1" x14ac:dyDescent="0.3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</row>
    <row r="923" spans="1:48" ht="15.75" customHeight="1" x14ac:dyDescent="0.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</row>
    <row r="924" spans="1:48" ht="15.75" customHeight="1" x14ac:dyDescent="0.3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</row>
    <row r="925" spans="1:48" ht="15.75" customHeight="1" x14ac:dyDescent="0.3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</row>
    <row r="926" spans="1:48" ht="15.75" customHeight="1" x14ac:dyDescent="0.3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</row>
    <row r="927" spans="1:48" ht="15.75" customHeight="1" x14ac:dyDescent="0.3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</row>
    <row r="928" spans="1:48" ht="15.75" customHeight="1" x14ac:dyDescent="0.3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</row>
    <row r="929" spans="1:48" ht="15.75" customHeight="1" x14ac:dyDescent="0.3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</row>
    <row r="930" spans="1:48" ht="15.75" customHeight="1" x14ac:dyDescent="0.3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</row>
    <row r="931" spans="1:48" ht="15.75" customHeight="1" x14ac:dyDescent="0.3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</row>
    <row r="932" spans="1:48" ht="15.75" customHeight="1" x14ac:dyDescent="0.3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</row>
    <row r="933" spans="1:48" ht="15.75" customHeight="1" x14ac:dyDescent="0.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</row>
    <row r="934" spans="1:48" ht="15.75" customHeight="1" x14ac:dyDescent="0.3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</row>
    <row r="935" spans="1:48" ht="15.75" customHeight="1" x14ac:dyDescent="0.3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</row>
    <row r="936" spans="1:48" ht="15.75" customHeight="1" x14ac:dyDescent="0.3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</row>
    <row r="937" spans="1:48" ht="15.75" customHeight="1" x14ac:dyDescent="0.3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</row>
    <row r="938" spans="1:48" ht="15.75" customHeight="1" x14ac:dyDescent="0.3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</row>
    <row r="939" spans="1:48" ht="15.75" customHeight="1" x14ac:dyDescent="0.3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</row>
    <row r="940" spans="1:48" ht="15.75" customHeight="1" x14ac:dyDescent="0.3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</row>
    <row r="941" spans="1:48" ht="15.75" customHeight="1" x14ac:dyDescent="0.3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</row>
    <row r="942" spans="1:48" ht="15.75" customHeight="1" x14ac:dyDescent="0.3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</row>
    <row r="943" spans="1:48" ht="15.75" customHeight="1" x14ac:dyDescent="0.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</row>
    <row r="944" spans="1:48" ht="15.75" customHeight="1" x14ac:dyDescent="0.3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</row>
    <row r="945" spans="1:48" ht="15.75" customHeight="1" x14ac:dyDescent="0.3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</row>
    <row r="946" spans="1:48" ht="15.75" customHeight="1" x14ac:dyDescent="0.3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</row>
    <row r="947" spans="1:48" ht="15.75" customHeight="1" x14ac:dyDescent="0.3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</row>
    <row r="948" spans="1:48" ht="15.75" customHeight="1" x14ac:dyDescent="0.3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</row>
    <row r="949" spans="1:48" ht="15.75" customHeight="1" x14ac:dyDescent="0.3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</row>
    <row r="950" spans="1:48" ht="15.75" customHeight="1" x14ac:dyDescent="0.3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</row>
    <row r="951" spans="1:48" ht="15.75" customHeight="1" x14ac:dyDescent="0.3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</row>
    <row r="952" spans="1:48" ht="15.75" customHeight="1" x14ac:dyDescent="0.3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</row>
    <row r="953" spans="1:48" ht="15.75" customHeight="1" x14ac:dyDescent="0.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</row>
    <row r="954" spans="1:48" ht="15.75" customHeight="1" x14ac:dyDescent="0.3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</row>
    <row r="955" spans="1:48" ht="15.75" customHeight="1" x14ac:dyDescent="0.3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</row>
    <row r="956" spans="1:48" ht="15.75" customHeight="1" x14ac:dyDescent="0.3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</row>
    <row r="957" spans="1:48" ht="15.75" customHeight="1" x14ac:dyDescent="0.3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</row>
    <row r="958" spans="1:48" ht="15.75" customHeight="1" x14ac:dyDescent="0.3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</row>
    <row r="959" spans="1:48" ht="15.75" customHeight="1" x14ac:dyDescent="0.3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</row>
    <row r="960" spans="1:48" ht="15.75" customHeight="1" x14ac:dyDescent="0.3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</row>
    <row r="961" spans="1:48" ht="15.75" customHeight="1" x14ac:dyDescent="0.3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</row>
    <row r="962" spans="1:48" ht="15.75" customHeight="1" x14ac:dyDescent="0.3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</row>
    <row r="963" spans="1:48" ht="15.75" customHeight="1" x14ac:dyDescent="0.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</row>
    <row r="964" spans="1:48" ht="15.75" customHeight="1" x14ac:dyDescent="0.3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</row>
    <row r="965" spans="1:48" ht="15.75" customHeight="1" x14ac:dyDescent="0.3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</row>
    <row r="966" spans="1:48" ht="15.75" customHeight="1" x14ac:dyDescent="0.3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</row>
    <row r="967" spans="1:48" ht="15.75" customHeight="1" x14ac:dyDescent="0.3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</row>
    <row r="968" spans="1:48" ht="15.75" customHeight="1" x14ac:dyDescent="0.3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</row>
    <row r="969" spans="1:48" ht="15.75" customHeight="1" x14ac:dyDescent="0.3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</row>
    <row r="970" spans="1:48" ht="15.75" customHeight="1" x14ac:dyDescent="0.3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</row>
    <row r="971" spans="1:48" ht="15.75" customHeight="1" x14ac:dyDescent="0.3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</row>
    <row r="972" spans="1:48" ht="15.75" customHeight="1" x14ac:dyDescent="0.3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</row>
    <row r="973" spans="1:48" ht="15.75" customHeight="1" x14ac:dyDescent="0.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</row>
    <row r="974" spans="1:48" ht="15.75" customHeight="1" x14ac:dyDescent="0.3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</row>
    <row r="975" spans="1:48" ht="15.75" customHeight="1" x14ac:dyDescent="0.3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</row>
    <row r="976" spans="1:48" ht="15.75" customHeight="1" x14ac:dyDescent="0.3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</row>
    <row r="977" spans="1:48" ht="15.75" customHeight="1" x14ac:dyDescent="0.3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</row>
    <row r="978" spans="1:48" ht="15.75" customHeight="1" x14ac:dyDescent="0.3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</row>
    <row r="979" spans="1:48" ht="15.75" customHeight="1" x14ac:dyDescent="0.3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</row>
    <row r="980" spans="1:48" ht="15.75" customHeight="1" x14ac:dyDescent="0.3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</row>
    <row r="981" spans="1:48" ht="15.75" customHeight="1" x14ac:dyDescent="0.3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</row>
    <row r="982" spans="1:48" ht="15.75" customHeight="1" x14ac:dyDescent="0.3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</row>
    <row r="983" spans="1:48" ht="15.75" customHeight="1" x14ac:dyDescent="0.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</row>
    <row r="984" spans="1:48" ht="15.75" customHeight="1" x14ac:dyDescent="0.3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</row>
    <row r="985" spans="1:48" ht="15.75" customHeight="1" x14ac:dyDescent="0.3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</row>
    <row r="986" spans="1:48" ht="15.75" customHeight="1" x14ac:dyDescent="0.3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</row>
    <row r="987" spans="1:48" ht="15.75" customHeight="1" x14ac:dyDescent="0.3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</row>
    <row r="988" spans="1:48" ht="15.75" customHeight="1" x14ac:dyDescent="0.3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</row>
    <row r="989" spans="1:48" ht="15.75" customHeight="1" x14ac:dyDescent="0.3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</row>
    <row r="990" spans="1:48" ht="15.75" customHeight="1" x14ac:dyDescent="0.3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</row>
    <row r="991" spans="1:48" ht="15.75" customHeight="1" x14ac:dyDescent="0.3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</row>
    <row r="992" spans="1:48" ht="15.75" customHeight="1" x14ac:dyDescent="0.3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</row>
    <row r="993" spans="1:48" ht="15.75" customHeight="1" x14ac:dyDescent="0.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</row>
    <row r="994" spans="1:48" ht="15.75" customHeight="1" x14ac:dyDescent="0.3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</row>
    <row r="995" spans="1:48" ht="15.75" customHeight="1" x14ac:dyDescent="0.3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</row>
    <row r="996" spans="1:48" ht="15.75" customHeight="1" x14ac:dyDescent="0.3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</row>
    <row r="997" spans="1:48" ht="15.75" customHeight="1" x14ac:dyDescent="0.3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</row>
    <row r="998" spans="1:48" ht="15.75" customHeight="1" x14ac:dyDescent="0.3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</row>
    <row r="999" spans="1:48" ht="15.75" customHeight="1" x14ac:dyDescent="0.3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</row>
    <row r="1000" spans="1:48" ht="15.75" customHeight="1" x14ac:dyDescent="0.3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</row>
  </sheetData>
  <mergeCells count="56">
    <mergeCell ref="AC56:AE57"/>
    <mergeCell ref="AF56:AH57"/>
    <mergeCell ref="AI56:AK57"/>
    <mergeCell ref="B56:D57"/>
    <mergeCell ref="E56:G57"/>
    <mergeCell ref="H56:J57"/>
    <mergeCell ref="K56:M57"/>
    <mergeCell ref="N56:P57"/>
    <mergeCell ref="Q56:S57"/>
    <mergeCell ref="T56:V57"/>
    <mergeCell ref="W56:Y57"/>
    <mergeCell ref="Z56:AB57"/>
    <mergeCell ref="AC29:AE30"/>
    <mergeCell ref="AF29:AH30"/>
    <mergeCell ref="AI29:AK30"/>
    <mergeCell ref="E29:G30"/>
    <mergeCell ref="H29:J30"/>
    <mergeCell ref="K29:M30"/>
    <mergeCell ref="N29:P30"/>
    <mergeCell ref="Q29:S30"/>
    <mergeCell ref="T29:V30"/>
    <mergeCell ref="W29:Y30"/>
    <mergeCell ref="AC5:AE6"/>
    <mergeCell ref="AF5:AH6"/>
    <mergeCell ref="AI5:AK6"/>
    <mergeCell ref="A2:D3"/>
    <mergeCell ref="A4:A7"/>
    <mergeCell ref="B5:D6"/>
    <mergeCell ref="E5:G6"/>
    <mergeCell ref="H5:J6"/>
    <mergeCell ref="K5:M6"/>
    <mergeCell ref="N5:P6"/>
    <mergeCell ref="A32:A34"/>
    <mergeCell ref="A36:A38"/>
    <mergeCell ref="A40:A42"/>
    <mergeCell ref="Z5:AB6"/>
    <mergeCell ref="Z29:AB30"/>
    <mergeCell ref="A16:A18"/>
    <mergeCell ref="A20:A22"/>
    <mergeCell ref="A24:A26"/>
    <mergeCell ref="A28:A31"/>
    <mergeCell ref="B29:D30"/>
    <mergeCell ref="Q5:S6"/>
    <mergeCell ref="T5:V6"/>
    <mergeCell ref="W5:Y6"/>
    <mergeCell ref="A8:A10"/>
    <mergeCell ref="A12:A14"/>
    <mergeCell ref="A71:A73"/>
    <mergeCell ref="A75:A77"/>
    <mergeCell ref="A44:A46"/>
    <mergeCell ref="A48:A50"/>
    <mergeCell ref="A59:A61"/>
    <mergeCell ref="A63:A65"/>
    <mergeCell ref="A67:A69"/>
    <mergeCell ref="A52:A54"/>
    <mergeCell ref="A55:A5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 &amp; MEASUREMENTS</vt:lpstr>
      <vt:lpstr>Dropdown</vt:lpstr>
      <vt:lpstr>3-DAY TRAINING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Fahmy, Omar</cp:lastModifiedBy>
  <dcterms:created xsi:type="dcterms:W3CDTF">2025-12-12T13:08:12Z</dcterms:created>
  <dcterms:modified xsi:type="dcterms:W3CDTF">2025-12-12T13:08:12Z</dcterms:modified>
</cp:coreProperties>
</file>