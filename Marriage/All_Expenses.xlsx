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nalog-my.sharepoint.com/personal/omar_fahmy_analog_com/Documents/Personal Stuff/Marriage/"/>
    </mc:Choice>
  </mc:AlternateContent>
  <xr:revisionPtr revIDLastSave="1" documentId="13_ncr:1_{4790C9F9-A75E-4017-AA67-FFE90E9926F8}" xr6:coauthVersionLast="47" xr6:coauthVersionMax="47" xr10:uidLastSave="{5E3AC1A6-3249-4B26-ABC6-D785E1CB1A57}"/>
  <bookViews>
    <workbookView xWindow="574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1" l="1"/>
  <c r="B76" i="1"/>
  <c r="B66" i="1"/>
  <c r="B67" i="1"/>
  <c r="B64" i="1"/>
  <c r="B63" i="1" l="1"/>
  <c r="B62" i="1"/>
  <c r="B60" i="1"/>
  <c r="B53" i="1"/>
  <c r="B59" i="1"/>
  <c r="B58" i="1"/>
  <c r="B57" i="1"/>
  <c r="B54" i="1"/>
  <c r="B52" i="1"/>
  <c r="B10" i="1" l="1"/>
  <c r="B51" i="1"/>
  <c r="B50" i="1"/>
  <c r="B49" i="1"/>
  <c r="B48" i="1"/>
  <c r="B47" i="1"/>
  <c r="B46" i="1"/>
  <c r="B44" i="1"/>
  <c r="B43" i="1"/>
  <c r="B42" i="1"/>
  <c r="B39" i="1"/>
  <c r="B41" i="1"/>
  <c r="B40" i="1"/>
  <c r="B38" i="1"/>
  <c r="B37" i="1"/>
  <c r="B36" i="1"/>
  <c r="B33" i="1"/>
  <c r="B34" i="1"/>
  <c r="B23" i="1"/>
  <c r="B26" i="1"/>
  <c r="B27" i="1"/>
  <c r="B30" i="1"/>
  <c r="B31" i="1"/>
  <c r="B32" i="1"/>
  <c r="B22" i="1"/>
  <c r="B20" i="1"/>
  <c r="B21" i="1"/>
  <c r="B15" i="1"/>
  <c r="B11" i="1"/>
  <c r="B14" i="1"/>
  <c r="B13" i="1"/>
  <c r="G4" i="1" l="1"/>
</calcChain>
</file>

<file path=xl/sharedStrings.xml><?xml version="1.0" encoding="utf-8"?>
<sst xmlns="http://schemas.openxmlformats.org/spreadsheetml/2006/main" count="78" uniqueCount="78">
  <si>
    <t>Item</t>
  </si>
  <si>
    <t>Price</t>
  </si>
  <si>
    <t>Badla 1</t>
  </si>
  <si>
    <t>2omash + Badla 2</t>
  </si>
  <si>
    <t>Belts</t>
  </si>
  <si>
    <t>Shoes</t>
  </si>
  <si>
    <t>Chocolates + Flowers</t>
  </si>
  <si>
    <t>Shabka</t>
  </si>
  <si>
    <t>Outing</t>
  </si>
  <si>
    <t>after-engagement gift (frame, medal, ..)</t>
  </si>
  <si>
    <t>Bedroom + Dining + Reception</t>
  </si>
  <si>
    <t>Refrigerator</t>
  </si>
  <si>
    <t>Total</t>
  </si>
  <si>
    <t>Smart Sink</t>
  </si>
  <si>
    <t>Washing Machine</t>
  </si>
  <si>
    <t>Flights</t>
  </si>
  <si>
    <t>Dishwasher</t>
  </si>
  <si>
    <t>ACs Measurments</t>
  </si>
  <si>
    <t>BS Airport at Phuket hotel</t>
  </si>
  <si>
    <t>Amala Grand Bleu Resort</t>
  </si>
  <si>
    <t>Andaman Beach Suites hotel</t>
  </si>
  <si>
    <t>1.5 HP cooling &amp; heating AC</t>
  </si>
  <si>
    <t>Oven</t>
  </si>
  <si>
    <t>Mama's money gift</t>
  </si>
  <si>
    <t>Uncle share in honeymoon</t>
  </si>
  <si>
    <t>Hob</t>
  </si>
  <si>
    <t>2.25 HP cooling &amp; heating AC</t>
  </si>
  <si>
    <t>Similan Islands tour through Klook</t>
  </si>
  <si>
    <t>Casa Novelle deposit</t>
  </si>
  <si>
    <t>Photographer deposit</t>
  </si>
  <si>
    <t>Translation</t>
  </si>
  <si>
    <t>Kitchen first deposit</t>
  </si>
  <si>
    <t>Kitchen second deposit</t>
  </si>
  <si>
    <t>Hood</t>
  </si>
  <si>
    <t>Microwave</t>
  </si>
  <si>
    <t>2 x 3 HP cooling only AC</t>
  </si>
  <si>
    <t>Dr. Islam's money gift</t>
  </si>
  <si>
    <t>Zayata + Matba2eya</t>
  </si>
  <si>
    <t>Kitchen Pull-Out Recycle Bin</t>
  </si>
  <si>
    <t>Kitchen third deposit</t>
  </si>
  <si>
    <t>2 3-HP AC Holders + Tips</t>
  </si>
  <si>
    <t>Zamzam Water Deposit</t>
  </si>
  <si>
    <t>Ro5am</t>
  </si>
  <si>
    <t>Sabak (Taslee7 toilet el master + tarkeeb el dishwasher and sink)</t>
  </si>
  <si>
    <t>Kahraba2y (material + masna3eya)</t>
  </si>
  <si>
    <t>Hob installement</t>
  </si>
  <si>
    <t>Phi Phi Islands Tour</t>
  </si>
  <si>
    <t>2 LG Screens (OLED and UHD)</t>
  </si>
  <si>
    <t>Mattress and Pillows</t>
  </si>
  <si>
    <t>L Shape</t>
  </si>
  <si>
    <t>Hand Blender</t>
  </si>
  <si>
    <t>Steam Iron</t>
  </si>
  <si>
    <t>Curtains</t>
  </si>
  <si>
    <t>Bedroom + Dining + Reception Second Deposit</t>
  </si>
  <si>
    <t>(Gazama + Ghasala Unit + Bar) First Deposit</t>
  </si>
  <si>
    <t>Mama's suit gift</t>
  </si>
  <si>
    <t>Wedding Suit</t>
  </si>
  <si>
    <t>Espresso Machine</t>
  </si>
  <si>
    <t>Turkish Coffee Machine (Used HSBC Points)</t>
  </si>
  <si>
    <t>Wall Mounts (Used HSBC Points)</t>
  </si>
  <si>
    <t>Living Room Lamp</t>
  </si>
  <si>
    <t>Kitchen's Carpet</t>
  </si>
  <si>
    <t>Phang Nga Adventures</t>
  </si>
  <si>
    <t>Living's Carpet</t>
  </si>
  <si>
    <t>(Gazama + Ghasala Unit + Bar) Second Deposit</t>
  </si>
  <si>
    <t>Corridor and Bedroom Carpets</t>
  </si>
  <si>
    <t>Baba gift</t>
  </si>
  <si>
    <t>Ma2zoon</t>
  </si>
  <si>
    <t>Rania's Gift</t>
  </si>
  <si>
    <t>Shirt</t>
  </si>
  <si>
    <t>Cufflinks</t>
  </si>
  <si>
    <t>Helwan's Gift</t>
  </si>
  <si>
    <t>Company's Gift</t>
  </si>
  <si>
    <t>Baba and Khaled Gift</t>
  </si>
  <si>
    <t>Sabak (sink)</t>
  </si>
  <si>
    <t>Honeymoon Expenses</t>
  </si>
  <si>
    <t>Coffee Corner</t>
  </si>
  <si>
    <t>Reception Coffee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</si>
</sst>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"/>
  <sheetViews>
    <sheetView tabSelected="1" topLeftCell="A27" zoomScale="130" zoomScaleNormal="130" workbookViewId="0">
      <selection activeCell="B46" sqref="B46"/>
    </sheetView>
  </sheetViews>
  <sheetFormatPr defaultRowHeight="14.4" x14ac:dyDescent="0.3"/>
  <cols>
    <col min="1" max="1" width="47.5546875" style="2" bestFit="1" customWidth="1"/>
    <col min="2" max="2" width="27" style="2" customWidth="1"/>
  </cols>
  <sheetData>
    <row r="1" spans="1:7" ht="22.2" thickTop="1" thickBot="1" x14ac:dyDescent="0.35">
      <c r="A1" s="4" t="s">
        <v>0</v>
      </c>
      <c r="B1" s="5" t="s">
        <v>1</v>
      </c>
    </row>
    <row r="2" spans="1:7" ht="15" thickTop="1" x14ac:dyDescent="0.3">
      <c r="A2" s="7" t="s">
        <v>2</v>
      </c>
      <c r="B2" s="6">
        <v>3500</v>
      </c>
    </row>
    <row r="3" spans="1:7" x14ac:dyDescent="0.3">
      <c r="A3" s="7" t="s">
        <v>3</v>
      </c>
      <c r="B3" s="7">
        <v>4000</v>
      </c>
      <c r="G3" s="1" t="s">
        <v>12</v>
      </c>
    </row>
    <row r="4" spans="1:7" x14ac:dyDescent="0.3">
      <c r="A4" s="7" t="s">
        <v>4</v>
      </c>
      <c r="B4" s="7">
        <v>3500</v>
      </c>
      <c r="G4">
        <f>SUM(B:B)</f>
        <v>653635</v>
      </c>
    </row>
    <row r="5" spans="1:7" x14ac:dyDescent="0.3">
      <c r="A5" s="7" t="s">
        <v>5</v>
      </c>
      <c r="B5" s="7">
        <v>3000</v>
      </c>
    </row>
    <row r="6" spans="1:7" x14ac:dyDescent="0.3">
      <c r="A6" s="7" t="s">
        <v>6</v>
      </c>
      <c r="B6" s="7">
        <v>2000</v>
      </c>
    </row>
    <row r="7" spans="1:7" x14ac:dyDescent="0.3">
      <c r="A7" s="7" t="s">
        <v>7</v>
      </c>
      <c r="B7" s="7">
        <v>123000</v>
      </c>
    </row>
    <row r="8" spans="1:7" x14ac:dyDescent="0.3">
      <c r="A8" s="7" t="s">
        <v>8</v>
      </c>
      <c r="B8" s="7">
        <v>7000</v>
      </c>
    </row>
    <row r="9" spans="1:7" x14ac:dyDescent="0.3">
      <c r="A9" s="7" t="s">
        <v>9</v>
      </c>
      <c r="B9" s="7">
        <v>1000</v>
      </c>
    </row>
    <row r="10" spans="1:7" x14ac:dyDescent="0.3">
      <c r="A10" s="7" t="s">
        <v>10</v>
      </c>
      <c r="B10" s="7">
        <f>180000/2</f>
        <v>90000</v>
      </c>
    </row>
    <row r="11" spans="1:7" x14ac:dyDescent="0.3">
      <c r="A11" s="7" t="s">
        <v>11</v>
      </c>
      <c r="B11" s="7">
        <f xml:space="preserve"> 40466 / 2</f>
        <v>20233</v>
      </c>
    </row>
    <row r="12" spans="1:7" x14ac:dyDescent="0.3">
      <c r="A12" s="7" t="s">
        <v>13</v>
      </c>
      <c r="B12" s="7">
        <v>16150</v>
      </c>
    </row>
    <row r="13" spans="1:7" x14ac:dyDescent="0.3">
      <c r="A13" s="7" t="s">
        <v>14</v>
      </c>
      <c r="B13" s="7">
        <f>(29490/2)</f>
        <v>14745</v>
      </c>
    </row>
    <row r="14" spans="1:7" x14ac:dyDescent="0.3">
      <c r="A14" s="7" t="s">
        <v>16</v>
      </c>
      <c r="B14" s="7">
        <f>(29600/2)</f>
        <v>14800</v>
      </c>
    </row>
    <row r="15" spans="1:7" x14ac:dyDescent="0.3">
      <c r="A15" s="7" t="s">
        <v>17</v>
      </c>
      <c r="B15" s="7">
        <f>(300/2)</f>
        <v>150</v>
      </c>
    </row>
    <row r="16" spans="1:7" x14ac:dyDescent="0.3">
      <c r="A16" s="7" t="s">
        <v>15</v>
      </c>
      <c r="B16" s="7">
        <v>69500</v>
      </c>
    </row>
    <row r="17" spans="1:2" x14ac:dyDescent="0.3">
      <c r="A17" s="7" t="s">
        <v>18</v>
      </c>
      <c r="B17" s="7">
        <v>2177</v>
      </c>
    </row>
    <row r="18" spans="1:2" x14ac:dyDescent="0.3">
      <c r="A18" s="7" t="s">
        <v>20</v>
      </c>
      <c r="B18" s="7">
        <v>24332</v>
      </c>
    </row>
    <row r="19" spans="1:2" x14ac:dyDescent="0.3">
      <c r="A19" s="7" t="s">
        <v>19</v>
      </c>
      <c r="B19" s="7">
        <v>28600</v>
      </c>
    </row>
    <row r="20" spans="1:2" x14ac:dyDescent="0.3">
      <c r="A20" s="7" t="s">
        <v>31</v>
      </c>
      <c r="B20" s="7">
        <f>45000/2</f>
        <v>22500</v>
      </c>
    </row>
    <row r="21" spans="1:2" x14ac:dyDescent="0.3">
      <c r="A21" s="7" t="s">
        <v>21</v>
      </c>
      <c r="B21" s="7">
        <f>32274/2</f>
        <v>16137</v>
      </c>
    </row>
    <row r="22" spans="1:2" x14ac:dyDescent="0.3">
      <c r="A22" s="7" t="s">
        <v>35</v>
      </c>
      <c r="B22" s="7">
        <f xml:space="preserve"> 102439 / 2</f>
        <v>51219.5</v>
      </c>
    </row>
    <row r="23" spans="1:2" x14ac:dyDescent="0.3">
      <c r="A23" s="7" t="s">
        <v>22</v>
      </c>
      <c r="B23" s="7">
        <f>24500/2</f>
        <v>12250</v>
      </c>
    </row>
    <row r="24" spans="1:2" x14ac:dyDescent="0.3">
      <c r="A24" s="7" t="s">
        <v>23</v>
      </c>
      <c r="B24" s="7">
        <v>-13000</v>
      </c>
    </row>
    <row r="25" spans="1:2" x14ac:dyDescent="0.3">
      <c r="A25" s="7" t="s">
        <v>24</v>
      </c>
      <c r="B25" s="7">
        <v>-50000</v>
      </c>
    </row>
    <row r="26" spans="1:2" x14ac:dyDescent="0.3">
      <c r="A26" s="7" t="s">
        <v>25</v>
      </c>
      <c r="B26" s="7">
        <f xml:space="preserve"> 18000 / 2</f>
        <v>9000</v>
      </c>
    </row>
    <row r="27" spans="1:2" x14ac:dyDescent="0.3">
      <c r="A27" s="7" t="s">
        <v>26</v>
      </c>
      <c r="B27" s="3">
        <f xml:space="preserve"> 50000 / 2</f>
        <v>25000</v>
      </c>
    </row>
    <row r="28" spans="1:2" x14ac:dyDescent="0.3">
      <c r="A28" s="7" t="s">
        <v>27</v>
      </c>
      <c r="B28" s="3">
        <v>8108</v>
      </c>
    </row>
    <row r="29" spans="1:2" x14ac:dyDescent="0.3">
      <c r="A29" s="7" t="s">
        <v>28</v>
      </c>
      <c r="B29" s="3">
        <v>-2250</v>
      </c>
    </row>
    <row r="30" spans="1:2" x14ac:dyDescent="0.3">
      <c r="A30" s="7" t="s">
        <v>29</v>
      </c>
      <c r="B30" s="3">
        <f>1000/2</f>
        <v>500</v>
      </c>
    </row>
    <row r="31" spans="1:2" x14ac:dyDescent="0.3">
      <c r="A31" s="7" t="s">
        <v>30</v>
      </c>
      <c r="B31" s="3">
        <f>750/2</f>
        <v>375</v>
      </c>
    </row>
    <row r="32" spans="1:2" x14ac:dyDescent="0.3">
      <c r="A32" s="7" t="s">
        <v>32</v>
      </c>
      <c r="B32" s="3">
        <f>20000/2</f>
        <v>10000</v>
      </c>
    </row>
    <row r="33" spans="1:2" x14ac:dyDescent="0.3">
      <c r="A33" s="7" t="s">
        <v>33</v>
      </c>
      <c r="B33" s="3">
        <f>20400/2</f>
        <v>10200</v>
      </c>
    </row>
    <row r="34" spans="1:2" x14ac:dyDescent="0.3">
      <c r="A34" s="7" t="s">
        <v>34</v>
      </c>
      <c r="B34" s="3">
        <f>13800/2</f>
        <v>6900</v>
      </c>
    </row>
    <row r="35" spans="1:2" x14ac:dyDescent="0.3">
      <c r="A35" s="7" t="s">
        <v>36</v>
      </c>
      <c r="B35" s="3">
        <v>-5500</v>
      </c>
    </row>
    <row r="36" spans="1:2" x14ac:dyDescent="0.3">
      <c r="A36" s="7" t="s">
        <v>37</v>
      </c>
      <c r="B36" s="3">
        <f>2350/2</f>
        <v>1175</v>
      </c>
    </row>
    <row r="37" spans="1:2" x14ac:dyDescent="0.3">
      <c r="A37" s="7" t="s">
        <v>38</v>
      </c>
      <c r="B37" s="3">
        <f>1000/2</f>
        <v>500</v>
      </c>
    </row>
    <row r="38" spans="1:2" x14ac:dyDescent="0.3">
      <c r="A38" s="7" t="s">
        <v>39</v>
      </c>
      <c r="B38" s="3">
        <f>25000/2</f>
        <v>12500</v>
      </c>
    </row>
    <row r="39" spans="1:2" x14ac:dyDescent="0.3">
      <c r="A39" s="7" t="s">
        <v>42</v>
      </c>
      <c r="B39" s="3">
        <f>24000/2</f>
        <v>12000</v>
      </c>
    </row>
    <row r="40" spans="1:2" x14ac:dyDescent="0.3">
      <c r="A40" s="7" t="s">
        <v>40</v>
      </c>
      <c r="B40" s="3">
        <f>1800/2</f>
        <v>900</v>
      </c>
    </row>
    <row r="41" spans="1:2" x14ac:dyDescent="0.3">
      <c r="A41" s="7" t="s">
        <v>41</v>
      </c>
      <c r="B41" s="3">
        <f>2500/2</f>
        <v>1250</v>
      </c>
    </row>
    <row r="42" spans="1:2" ht="28.8" x14ac:dyDescent="0.3">
      <c r="A42" s="8" t="s">
        <v>43</v>
      </c>
      <c r="B42" s="3">
        <f>(1500+650)/2</f>
        <v>1075</v>
      </c>
    </row>
    <row r="43" spans="1:2" x14ac:dyDescent="0.3">
      <c r="A43" s="7" t="s">
        <v>44</v>
      </c>
      <c r="B43" s="3">
        <f>950/2</f>
        <v>475</v>
      </c>
    </row>
    <row r="44" spans="1:2" x14ac:dyDescent="0.3">
      <c r="A44" s="7" t="s">
        <v>45</v>
      </c>
      <c r="B44" s="3">
        <f>1270/2</f>
        <v>635</v>
      </c>
    </row>
    <row r="45" spans="1:2" x14ac:dyDescent="0.3">
      <c r="A45" s="7" t="s">
        <v>46</v>
      </c>
      <c r="B45" s="3">
        <v>0</v>
      </c>
    </row>
    <row r="46" spans="1:2" x14ac:dyDescent="0.3">
      <c r="A46" s="7" t="s">
        <v>47</v>
      </c>
      <c r="B46" s="3">
        <f>78390/2</f>
        <v>39195</v>
      </c>
    </row>
    <row r="47" spans="1:2" x14ac:dyDescent="0.3">
      <c r="A47" s="2" t="s">
        <v>48</v>
      </c>
      <c r="B47" s="7">
        <f>14530/2</f>
        <v>7265</v>
      </c>
    </row>
    <row r="48" spans="1:2" x14ac:dyDescent="0.3">
      <c r="A48" s="7" t="s">
        <v>49</v>
      </c>
      <c r="B48" s="3">
        <f>31970/2</f>
        <v>15985</v>
      </c>
    </row>
    <row r="49" spans="1:2" x14ac:dyDescent="0.3">
      <c r="A49" s="7" t="s">
        <v>50</v>
      </c>
      <c r="B49" s="3">
        <f>5130/2</f>
        <v>2565</v>
      </c>
    </row>
    <row r="50" spans="1:2" x14ac:dyDescent="0.3">
      <c r="A50" s="7" t="s">
        <v>51</v>
      </c>
      <c r="B50" s="3">
        <f>2554/2</f>
        <v>1277</v>
      </c>
    </row>
    <row r="51" spans="1:2" x14ac:dyDescent="0.3">
      <c r="A51" s="7" t="s">
        <v>52</v>
      </c>
      <c r="B51" s="3">
        <f>20000/2</f>
        <v>10000</v>
      </c>
    </row>
    <row r="52" spans="1:2" x14ac:dyDescent="0.3">
      <c r="A52" s="7" t="s">
        <v>53</v>
      </c>
      <c r="B52" s="3">
        <f>44685/2</f>
        <v>22342.5</v>
      </c>
    </row>
    <row r="53" spans="1:2" x14ac:dyDescent="0.3">
      <c r="A53" s="7" t="s">
        <v>60</v>
      </c>
      <c r="B53" s="3">
        <f>1200/2</f>
        <v>600</v>
      </c>
    </row>
    <row r="54" spans="1:2" x14ac:dyDescent="0.3">
      <c r="A54" s="7" t="s">
        <v>54</v>
      </c>
      <c r="B54" s="3">
        <f>10000/2</f>
        <v>5000</v>
      </c>
    </row>
    <row r="55" spans="1:2" x14ac:dyDescent="0.3">
      <c r="A55" s="7" t="s">
        <v>56</v>
      </c>
      <c r="B55" s="3">
        <v>6000</v>
      </c>
    </row>
    <row r="56" spans="1:2" x14ac:dyDescent="0.3">
      <c r="A56" s="7" t="s">
        <v>55</v>
      </c>
      <c r="B56" s="3">
        <v>-6000</v>
      </c>
    </row>
    <row r="57" spans="1:2" x14ac:dyDescent="0.3">
      <c r="A57" s="7" t="s">
        <v>57</v>
      </c>
      <c r="B57" s="3">
        <f>7977/2</f>
        <v>3988.5</v>
      </c>
    </row>
    <row r="58" spans="1:2" x14ac:dyDescent="0.3">
      <c r="A58" s="7" t="s">
        <v>58</v>
      </c>
      <c r="B58" s="3">
        <f>249/2</f>
        <v>124.5</v>
      </c>
    </row>
    <row r="59" spans="1:2" x14ac:dyDescent="0.3">
      <c r="A59" s="7" t="s">
        <v>59</v>
      </c>
      <c r="B59" s="3">
        <f>215/2</f>
        <v>107.5</v>
      </c>
    </row>
    <row r="60" spans="1:2" x14ac:dyDescent="0.3">
      <c r="A60" s="7" t="s">
        <v>61</v>
      </c>
      <c r="B60" s="3">
        <f>634/2</f>
        <v>317</v>
      </c>
    </row>
    <row r="61" spans="1:2" x14ac:dyDescent="0.3">
      <c r="A61" s="7" t="s">
        <v>62</v>
      </c>
      <c r="B61" s="3">
        <v>6000</v>
      </c>
    </row>
    <row r="62" spans="1:2" x14ac:dyDescent="0.3">
      <c r="A62" s="7" t="s">
        <v>63</v>
      </c>
      <c r="B62" s="3">
        <f>2850/2</f>
        <v>1425</v>
      </c>
    </row>
    <row r="63" spans="1:2" x14ac:dyDescent="0.3">
      <c r="A63" s="7" t="s">
        <v>64</v>
      </c>
      <c r="B63" s="3">
        <f>5000/2</f>
        <v>2500</v>
      </c>
    </row>
    <row r="64" spans="1:2" x14ac:dyDescent="0.3">
      <c r="A64" s="7" t="s">
        <v>65</v>
      </c>
      <c r="B64" s="3">
        <f>6961/2</f>
        <v>3480.5</v>
      </c>
    </row>
    <row r="65" spans="1:2" x14ac:dyDescent="0.3">
      <c r="A65" s="7" t="s">
        <v>66</v>
      </c>
      <c r="B65" s="3">
        <v>-20000</v>
      </c>
    </row>
    <row r="66" spans="1:2" x14ac:dyDescent="0.3">
      <c r="A66" s="7" t="s">
        <v>74</v>
      </c>
      <c r="B66" s="3">
        <f>300/2</f>
        <v>150</v>
      </c>
    </row>
    <row r="67" spans="1:2" x14ac:dyDescent="0.3">
      <c r="A67" s="7" t="s">
        <v>67</v>
      </c>
      <c r="B67" s="3">
        <f>7500/2</f>
        <v>3750</v>
      </c>
    </row>
    <row r="68" spans="1:2" x14ac:dyDescent="0.3">
      <c r="A68" s="7" t="s">
        <v>68</v>
      </c>
      <c r="B68" s="3">
        <v>-5000</v>
      </c>
    </row>
    <row r="69" spans="1:2" x14ac:dyDescent="0.3">
      <c r="A69" s="7" t="s">
        <v>69</v>
      </c>
      <c r="B69" s="3">
        <v>716</v>
      </c>
    </row>
    <row r="70" spans="1:2" x14ac:dyDescent="0.3">
      <c r="A70" s="7" t="s">
        <v>70</v>
      </c>
      <c r="B70" s="3">
        <v>360</v>
      </c>
    </row>
    <row r="71" spans="1:2" x14ac:dyDescent="0.3">
      <c r="A71" s="7" t="s">
        <v>71</v>
      </c>
      <c r="B71" s="3">
        <v>-5000</v>
      </c>
    </row>
    <row r="72" spans="1:2" x14ac:dyDescent="0.3">
      <c r="A72" s="7" t="s">
        <v>72</v>
      </c>
      <c r="B72" s="3">
        <v>-18900</v>
      </c>
    </row>
    <row r="73" spans="1:2" x14ac:dyDescent="0.3">
      <c r="A73" s="7" t="s">
        <v>73</v>
      </c>
      <c r="B73" s="3">
        <v>-38000</v>
      </c>
    </row>
    <row r="74" spans="1:2" x14ac:dyDescent="0.3">
      <c r="A74" s="7" t="s">
        <v>75</v>
      </c>
      <c r="B74" s="3">
        <v>48500</v>
      </c>
    </row>
    <row r="75" spans="1:2" x14ac:dyDescent="0.3">
      <c r="A75" s="7" t="s">
        <v>76</v>
      </c>
      <c r="B75" s="3">
        <f>3000/2</f>
        <v>1500</v>
      </c>
    </row>
    <row r="76" spans="1:2" x14ac:dyDescent="0.3">
      <c r="A76" s="3" t="s">
        <v>77</v>
      </c>
      <c r="B76" s="3">
        <f>7500/2</f>
        <v>3750</v>
      </c>
    </row>
    <row r="77" spans="1:2" x14ac:dyDescent="0.3">
      <c r="A77" s="3"/>
      <c r="B77" s="3"/>
    </row>
    <row r="78" spans="1:2" x14ac:dyDescent="0.3">
      <c r="A78" s="3"/>
      <c r="B78" s="3"/>
    </row>
    <row r="79" spans="1:2" x14ac:dyDescent="0.3">
      <c r="A79" s="3"/>
      <c r="B79" s="3"/>
    </row>
    <row r="80" spans="1:2" x14ac:dyDescent="0.3">
      <c r="A80" s="3"/>
      <c r="B80" s="3"/>
    </row>
    <row r="81" spans="1:2" x14ac:dyDescent="0.3">
      <c r="A81" s="3"/>
      <c r="B81" s="3"/>
    </row>
    <row r="82" spans="1:2" x14ac:dyDescent="0.3">
      <c r="A82" s="3"/>
      <c r="B82" s="3"/>
    </row>
    <row r="83" spans="1:2" x14ac:dyDescent="0.3">
      <c r="A83" s="3"/>
      <c r="B83" s="3"/>
    </row>
    <row r="84" spans="1:2" x14ac:dyDescent="0.3">
      <c r="A84" s="3"/>
      <c r="B84" s="3"/>
    </row>
    <row r="85" spans="1:2" x14ac:dyDescent="0.3">
      <c r="A85" s="3"/>
      <c r="B85" s="3"/>
    </row>
    <row r="86" spans="1:2" x14ac:dyDescent="0.3">
      <c r="A86" s="3"/>
      <c r="B86" s="3"/>
    </row>
    <row r="87" spans="1:2" x14ac:dyDescent="0.3">
      <c r="A87" s="3"/>
      <c r="B87" s="3"/>
    </row>
    <row r="88" spans="1:2" x14ac:dyDescent="0.3">
      <c r="A88" s="3"/>
      <c r="B88" s="3"/>
    </row>
    <row r="89" spans="1:2" x14ac:dyDescent="0.3">
      <c r="A89" s="3"/>
      <c r="B89" s="3"/>
    </row>
    <row r="90" spans="1:2" x14ac:dyDescent="0.3">
      <c r="A90" s="3"/>
      <c r="B90" s="3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3"/>
      <c r="B126" s="3"/>
    </row>
    <row r="127" spans="1:2" x14ac:dyDescent="0.3">
      <c r="A127" s="3"/>
      <c r="B127" s="3"/>
    </row>
    <row r="128" spans="1:2" x14ac:dyDescent="0.3">
      <c r="A128" s="3"/>
      <c r="B128" s="3"/>
    </row>
    <row r="129" spans="1:2" x14ac:dyDescent="0.3">
      <c r="A129" s="3"/>
      <c r="B129" s="3"/>
    </row>
    <row r="130" spans="1:2" x14ac:dyDescent="0.3">
      <c r="A130" s="3"/>
      <c r="B130" s="3"/>
    </row>
    <row r="131" spans="1:2" x14ac:dyDescent="0.3">
      <c r="A131" s="3"/>
      <c r="B131" s="3"/>
    </row>
    <row r="132" spans="1:2" x14ac:dyDescent="0.3">
      <c r="A132" s="3"/>
      <c r="B132" s="3"/>
    </row>
    <row r="133" spans="1:2" x14ac:dyDescent="0.3">
      <c r="A133" s="3"/>
      <c r="B133" s="3"/>
    </row>
    <row r="134" spans="1:2" x14ac:dyDescent="0.3">
      <c r="A134" s="3"/>
      <c r="B134" s="3"/>
    </row>
    <row r="135" spans="1:2" x14ac:dyDescent="0.3">
      <c r="A135" s="3"/>
      <c r="B135" s="3"/>
    </row>
    <row r="136" spans="1:2" x14ac:dyDescent="0.3">
      <c r="A136" s="3"/>
      <c r="B136" s="3"/>
    </row>
    <row r="137" spans="1:2" x14ac:dyDescent="0.3">
      <c r="A137" s="3"/>
      <c r="B137" s="3"/>
    </row>
    <row r="138" spans="1:2" x14ac:dyDescent="0.3">
      <c r="A138" s="3"/>
      <c r="B138" s="3"/>
    </row>
    <row r="139" spans="1:2" x14ac:dyDescent="0.3">
      <c r="A139" s="3"/>
      <c r="B139" s="3"/>
    </row>
    <row r="140" spans="1:2" x14ac:dyDescent="0.3">
      <c r="A140" s="3"/>
      <c r="B140" s="3"/>
    </row>
    <row r="141" spans="1:2" x14ac:dyDescent="0.3">
      <c r="A141" s="3"/>
      <c r="B141" s="3"/>
    </row>
    <row r="142" spans="1:2" x14ac:dyDescent="0.3">
      <c r="A142" s="3"/>
      <c r="B142" s="3"/>
    </row>
    <row r="143" spans="1:2" x14ac:dyDescent="0.3">
      <c r="A143" s="3"/>
      <c r="B143" s="3"/>
    </row>
    <row r="144" spans="1:2" x14ac:dyDescent="0.3">
      <c r="A144" s="3"/>
      <c r="B144" s="3"/>
    </row>
    <row r="145" spans="1:2" x14ac:dyDescent="0.3">
      <c r="A145" s="3"/>
      <c r="B145" s="3"/>
    </row>
    <row r="146" spans="1:2" x14ac:dyDescent="0.3">
      <c r="A146" s="3"/>
    </row>
    <row r="147" spans="1:2" x14ac:dyDescent="0.3">
      <c r="A147" s="3"/>
    </row>
    <row r="148" spans="1:2" x14ac:dyDescent="0.3">
      <c r="A148" s="3"/>
    </row>
    <row r="149" spans="1:2" x14ac:dyDescent="0.3">
      <c r="A149" s="3"/>
    </row>
    <row r="150" spans="1:2" x14ac:dyDescent="0.3">
      <c r="A150" s="3"/>
    </row>
    <row r="151" spans="1:2" x14ac:dyDescent="0.3">
      <c r="A151" s="3"/>
    </row>
    <row r="152" spans="1:2" x14ac:dyDescent="0.3">
      <c r="A152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689b4-8f87-40e0-9c6f-7228de4d754a}" enabled="0" method="" siteId="{eaa689b4-8f87-40e0-9c6f-7228de4d75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2015-06-05T18:17:20Z</dcterms:created>
  <dcterms:modified xsi:type="dcterms:W3CDTF">2026-07-13T07:41:12Z</dcterms:modified>
</cp:coreProperties>
</file>