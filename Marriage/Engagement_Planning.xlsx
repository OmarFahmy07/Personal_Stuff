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13_ncr:1_{47F9946A-93C8-4446-882C-5D804C1A473D}" xr6:coauthVersionLast="47" xr6:coauthVersionMax="47" xr10:uidLastSave="{00000000-0000-0000-0000-000000000000}"/>
  <bookViews>
    <workbookView xWindow="-108" yWindow="-108" windowWidth="23256" windowHeight="13896" activeTab="1" xr2:uid="{3D7FF56C-39E3-45FD-8501-2B00850F4676}"/>
  </bookViews>
  <sheets>
    <sheet name="Engagement Guests" sheetId="1" r:id="rId1"/>
    <sheet name="Outing Guests" sheetId="4" r:id="rId2"/>
    <sheet name="Outing Playlis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5" l="1"/>
  <c r="F56" i="5"/>
  <c r="C56" i="5"/>
  <c r="B56" i="5"/>
  <c r="B57" i="5" s="1"/>
  <c r="B34" i="1"/>
  <c r="A34" i="1"/>
  <c r="B74" i="4"/>
  <c r="D74" i="4" s="1"/>
  <c r="C74" i="4"/>
  <c r="F57" i="5" l="1"/>
  <c r="B58" i="5" s="1"/>
  <c r="C34" i="1"/>
</calcChain>
</file>

<file path=xl/sharedStrings.xml><?xml version="1.0" encoding="utf-8"?>
<sst xmlns="http://schemas.openxmlformats.org/spreadsheetml/2006/main" count="277" uniqueCount="252">
  <si>
    <t>3amouri's Attendees</t>
  </si>
  <si>
    <t>Nouri's Attendees</t>
  </si>
  <si>
    <t>Baba</t>
  </si>
  <si>
    <t>Khaled</t>
  </si>
  <si>
    <t>Amin</t>
  </si>
  <si>
    <t>Dalia</t>
  </si>
  <si>
    <t>Nada</t>
  </si>
  <si>
    <t>Mody</t>
  </si>
  <si>
    <t>Sally</t>
  </si>
  <si>
    <t>Uncle Ahmed</t>
  </si>
  <si>
    <t>Ali</t>
  </si>
  <si>
    <t>Janna</t>
  </si>
  <si>
    <t>Lina</t>
  </si>
  <si>
    <t>Rania</t>
  </si>
  <si>
    <t>Ziad</t>
  </si>
  <si>
    <t>Zain</t>
  </si>
  <si>
    <t>Hala</t>
  </si>
  <si>
    <t>Sherif</t>
  </si>
  <si>
    <t>Yassin</t>
  </si>
  <si>
    <t>Younis</t>
  </si>
  <si>
    <t>Teta</t>
  </si>
  <si>
    <t>Noha</t>
  </si>
  <si>
    <t>Hashem</t>
  </si>
  <si>
    <t>Baba Hashem</t>
  </si>
  <si>
    <t>Mama Hashem</t>
  </si>
  <si>
    <t>Maha</t>
  </si>
  <si>
    <t>Malak</t>
  </si>
  <si>
    <t>Gedo</t>
  </si>
  <si>
    <t>Mostafa</t>
  </si>
  <si>
    <t>Dina</t>
  </si>
  <si>
    <t>Karim</t>
  </si>
  <si>
    <t>Islam</t>
  </si>
  <si>
    <t>Nihad</t>
  </si>
  <si>
    <t>Uncle Nour</t>
  </si>
  <si>
    <t>Aya</t>
  </si>
  <si>
    <t>Nour</t>
  </si>
  <si>
    <t>Wezo</t>
  </si>
  <si>
    <t>Seif</t>
  </si>
  <si>
    <t>Salma</t>
  </si>
  <si>
    <t>Suhaila</t>
  </si>
  <si>
    <t>Atef</t>
  </si>
  <si>
    <t>Salma Mansour</t>
  </si>
  <si>
    <t>Habiba</t>
  </si>
  <si>
    <t>Salma Tarek</t>
  </si>
  <si>
    <t>Sarah</t>
  </si>
  <si>
    <t>Tarneem</t>
  </si>
  <si>
    <t>Mariam</t>
  </si>
  <si>
    <t>Mai</t>
  </si>
  <si>
    <t>Hamed</t>
  </si>
  <si>
    <t>Ganna</t>
  </si>
  <si>
    <t>Salma (Noha)</t>
  </si>
  <si>
    <t>Adham El Gamal</t>
  </si>
  <si>
    <t>Ahmed El Gamal</t>
  </si>
  <si>
    <t>Ahmed Medhat</t>
  </si>
  <si>
    <t>Ziad Nagi</t>
  </si>
  <si>
    <t>Daly</t>
  </si>
  <si>
    <t>Tony</t>
  </si>
  <si>
    <t>Mariam Ali</t>
  </si>
  <si>
    <t>Belal</t>
  </si>
  <si>
    <t>Bassant</t>
  </si>
  <si>
    <t>John (Bassant)</t>
  </si>
  <si>
    <t>Mariam Hany</t>
  </si>
  <si>
    <t>Mego</t>
  </si>
  <si>
    <t>Alyaa</t>
  </si>
  <si>
    <t>Eslam (Alyaa)</t>
  </si>
  <si>
    <t>Remidia</t>
  </si>
  <si>
    <t>Yostina</t>
  </si>
  <si>
    <t>Eman</t>
  </si>
  <si>
    <t>Mariam Yasser</t>
  </si>
  <si>
    <t>Khaled Abdelhamid</t>
  </si>
  <si>
    <t>Khaled Tarek</t>
  </si>
  <si>
    <t>Man</t>
  </si>
  <si>
    <t>Zeyad Hesham</t>
  </si>
  <si>
    <t>Omar Hossam</t>
  </si>
  <si>
    <t>Omar El Shemy</t>
  </si>
  <si>
    <t>Ramy</t>
  </si>
  <si>
    <t>Family</t>
  </si>
  <si>
    <t>Geesh</t>
  </si>
  <si>
    <t>Uni</t>
  </si>
  <si>
    <t>Work</t>
  </si>
  <si>
    <t>School</t>
  </si>
  <si>
    <t>Others</t>
  </si>
  <si>
    <t>Khaled's Friends</t>
  </si>
  <si>
    <t>Ezz</t>
  </si>
  <si>
    <t>Omar Khedr</t>
  </si>
  <si>
    <t>Hany</t>
  </si>
  <si>
    <t>Ayman</t>
  </si>
  <si>
    <t>Sawah</t>
  </si>
  <si>
    <t>Farid</t>
  </si>
  <si>
    <t>Tawab</t>
  </si>
  <si>
    <t>Mohab Alaa</t>
  </si>
  <si>
    <t>Tablawy</t>
  </si>
  <si>
    <t>Moataz</t>
  </si>
  <si>
    <t>Bassem</t>
  </si>
  <si>
    <t>Khaled Ashraf</t>
  </si>
  <si>
    <t>Romany</t>
  </si>
  <si>
    <t>Robert</t>
  </si>
  <si>
    <t>Zeyad Mady</t>
  </si>
  <si>
    <t>Nour Tarek</t>
  </si>
  <si>
    <t>Reem</t>
  </si>
  <si>
    <t>Ammar</t>
  </si>
  <si>
    <t>3adawy</t>
  </si>
  <si>
    <t>Sokkary</t>
  </si>
  <si>
    <t>Rana</t>
  </si>
  <si>
    <t>Hoba</t>
  </si>
  <si>
    <t>Aly</t>
  </si>
  <si>
    <t>Rawan</t>
  </si>
  <si>
    <t>Sara</t>
  </si>
  <si>
    <t>Youssry</t>
  </si>
  <si>
    <t>Zeyad</t>
  </si>
  <si>
    <t>Haggag</t>
  </si>
  <si>
    <t>Omar Fouad</t>
  </si>
  <si>
    <t>Muhanad</t>
  </si>
  <si>
    <t>Omar Kamal</t>
  </si>
  <si>
    <t>Omar Tamer</t>
  </si>
  <si>
    <t>Ali Mohamed</t>
  </si>
  <si>
    <t>Seif Reda</t>
  </si>
  <si>
    <t>Youssef Elkomy</t>
  </si>
  <si>
    <t>Saleh</t>
  </si>
  <si>
    <t>Mohamed Nasser</t>
  </si>
  <si>
    <t>Fatma</t>
  </si>
  <si>
    <t>Yousef Sherif</t>
  </si>
  <si>
    <t>Mahmoud Moharrem</t>
  </si>
  <si>
    <t>Tulan</t>
  </si>
  <si>
    <t>Zahyan</t>
  </si>
  <si>
    <t>Uncle Waleed</t>
  </si>
  <si>
    <t>Tant Nada</t>
  </si>
  <si>
    <t>Sahora</t>
  </si>
  <si>
    <t>Dancing Songs</t>
  </si>
  <si>
    <t>Effective Minutes</t>
  </si>
  <si>
    <t>Couple Songs</t>
  </si>
  <si>
    <t>7ashw Songs</t>
  </si>
  <si>
    <t>3arosty</t>
  </si>
  <si>
    <t>Effective Seconds</t>
  </si>
  <si>
    <t>5aliny M3ak</t>
  </si>
  <si>
    <t>Kebda</t>
  </si>
  <si>
    <t>Ahla Wahda</t>
  </si>
  <si>
    <t>El youm el helw da</t>
  </si>
  <si>
    <t>Hatedalla3</t>
  </si>
  <si>
    <t>Ghaly</t>
  </si>
  <si>
    <t>Bera7a ya sheekha</t>
  </si>
  <si>
    <t>Bent El Eh</t>
  </si>
  <si>
    <t>El Donya Betor2os</t>
  </si>
  <si>
    <t>Samurai</t>
  </si>
  <si>
    <t>3eeny wana shayfo</t>
  </si>
  <si>
    <t>3alena sa2f el wal3an</t>
  </si>
  <si>
    <t>Mabrook yabnel ma7zoza</t>
  </si>
  <si>
    <t>Total Minutes</t>
  </si>
  <si>
    <t>Odam El Nas</t>
  </si>
  <si>
    <t>Wayah</t>
  </si>
  <si>
    <t>Sa7by</t>
  </si>
  <si>
    <t>M3alemeen</t>
  </si>
  <si>
    <t>Total Minutes Per Category</t>
  </si>
  <si>
    <t>Mesh Shayfenhom</t>
  </si>
  <si>
    <t>Habebty</t>
  </si>
  <si>
    <t>Casueloh</t>
  </si>
  <si>
    <t>Hormone el sa3ada</t>
  </si>
  <si>
    <t>Tab a2olak</t>
  </si>
  <si>
    <t>Low</t>
  </si>
  <si>
    <t>Gasolina</t>
  </si>
  <si>
    <t>El ghazala ray2a</t>
  </si>
  <si>
    <t>Wasa3 wasa3</t>
  </si>
  <si>
    <t>M5asmak</t>
  </si>
  <si>
    <t>Total</t>
  </si>
  <si>
    <t>Doubts?</t>
  </si>
  <si>
    <t>7eta tanya</t>
  </si>
  <si>
    <t>Nemt nena</t>
  </si>
  <si>
    <t>Wala wa7ed</t>
  </si>
  <si>
    <t>Ra2asony</t>
  </si>
  <si>
    <t>Meganenany</t>
  </si>
  <si>
    <t>Enta el 7az</t>
  </si>
  <si>
    <t>Bayen 7abeet</t>
  </si>
  <si>
    <t>N2ool eh</t>
  </si>
  <si>
    <t>Helwa el ayam</t>
  </si>
  <si>
    <t>Msaytara</t>
  </si>
  <si>
    <t>Mategy a3ady 3leeky</t>
  </si>
  <si>
    <t>Uptown funk</t>
  </si>
  <si>
    <t>Helm seneen</t>
  </si>
  <si>
    <t>Brazil</t>
  </si>
  <si>
    <t>Helw el makan</t>
  </si>
  <si>
    <t>El watar el 7asas</t>
  </si>
  <si>
    <t>A7la haga feky</t>
  </si>
  <si>
    <t>Wa7da wa7da</t>
  </si>
  <si>
    <t>Mesh bel 7ozooz</t>
  </si>
  <si>
    <t>Zahra</t>
  </si>
  <si>
    <t>Ah ya alby</t>
  </si>
  <si>
    <t>5atwa</t>
  </si>
  <si>
    <t>Ghamazat</t>
  </si>
  <si>
    <t>El 7a2 3leeh</t>
  </si>
  <si>
    <t>Ganeny</t>
  </si>
  <si>
    <t>7abeto nar</t>
  </si>
  <si>
    <t>Siri</t>
  </si>
  <si>
    <t>Qeset 7ob</t>
  </si>
  <si>
    <t>Ba7ebo</t>
  </si>
  <si>
    <t>2oom o2af</t>
  </si>
  <si>
    <t>Get lucky</t>
  </si>
  <si>
    <t>Hayganeny</t>
  </si>
  <si>
    <t>Dorak gai</t>
  </si>
  <si>
    <t>E5tyaraty</t>
  </si>
  <si>
    <t>Ta3ala adalla3ak</t>
  </si>
  <si>
    <t>Begging</t>
  </si>
  <si>
    <t>Stereo love</t>
  </si>
  <si>
    <t>Move</t>
  </si>
  <si>
    <t>Mi gente</t>
  </si>
  <si>
    <t>Temperature</t>
  </si>
  <si>
    <t>I will survive</t>
  </si>
  <si>
    <t>Kan 3ena ta7oon</t>
  </si>
  <si>
    <t>Astronaut in the ocean</t>
  </si>
  <si>
    <t>Dance monkey</t>
  </si>
  <si>
    <t>My humps</t>
  </si>
  <si>
    <t>Kalamantina</t>
  </si>
  <si>
    <t>Fi 3eneh</t>
  </si>
  <si>
    <t>Freed from desire</t>
  </si>
  <si>
    <t>Kefy keda</t>
  </si>
  <si>
    <t>Ya ana ya mafeesh</t>
  </si>
  <si>
    <t>Ya layaly</t>
  </si>
  <si>
    <t>Danza kuduro</t>
  </si>
  <si>
    <t>Dancin'</t>
  </si>
  <si>
    <t>Alors on danse (remix)</t>
  </si>
  <si>
    <t>We found love</t>
  </si>
  <si>
    <t>Ba2eet m3ah</t>
  </si>
  <si>
    <t>Vidrado</t>
  </si>
  <si>
    <t>Smack that</t>
  </si>
  <si>
    <t>Laqta</t>
  </si>
  <si>
    <t>Levitating</t>
  </si>
  <si>
    <t>Mambo no. 5</t>
  </si>
  <si>
    <t>Lafena el denya</t>
  </si>
  <si>
    <t>Share3 el gharam</t>
  </si>
  <si>
    <t>Far2 5ebra</t>
  </si>
  <si>
    <t>3aw</t>
  </si>
  <si>
    <t>Satamony</t>
  </si>
  <si>
    <t>3al 3omom</t>
  </si>
  <si>
    <t>Track el mosem</t>
  </si>
  <si>
    <t>Ana baba</t>
  </si>
  <si>
    <t>El 7ala2</t>
  </si>
  <si>
    <t>Mal habeby</t>
  </si>
  <si>
    <t>Single</t>
  </si>
  <si>
    <t>Omy msafra</t>
  </si>
  <si>
    <t>Fi 7eta tanya</t>
  </si>
  <si>
    <t>El leila</t>
  </si>
  <si>
    <t>Easy money</t>
  </si>
  <si>
    <t>New rules</t>
  </si>
  <si>
    <t>Worth it</t>
  </si>
  <si>
    <t>Albek ba7r male7</t>
  </si>
  <si>
    <t>E5waty</t>
  </si>
  <si>
    <t>Ana mesh faker el cobleh</t>
  </si>
  <si>
    <t>Kol el nas</t>
  </si>
  <si>
    <t>Bent nas</t>
  </si>
  <si>
    <t>Sama3 hos</t>
  </si>
  <si>
    <t>Geet</t>
  </si>
  <si>
    <t>5atwa egbary</t>
  </si>
  <si>
    <t>Kolaha b2a leha a5sam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</si>
</sst>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2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2" fillId="0" borderId="0" xfId="0" applyFont="1"/>
    <xf numFmtId="0" fontId="0" fillId="0" borderId="1" xfId="0" applyBorder="1" applyAlignment="1">
      <alignment horizontal="center" vertical="center" textRotation="45"/>
    </xf>
    <xf numFmtId="0" fontId="0" fillId="0" borderId="7" xfId="0" applyBorder="1" applyAlignment="1">
      <alignment horizontal="center" vertical="center" textRotation="45"/>
    </xf>
    <xf numFmtId="0" fontId="0" fillId="0" borderId="3" xfId="0" applyBorder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8CF0-8E0B-429A-88EF-24479AB22BE1}">
  <dimension ref="A1:F34"/>
  <sheetViews>
    <sheetView zoomScale="160" zoomScaleNormal="160" workbookViewId="0">
      <selection activeCell="B1" activeCellId="1" sqref="A1:A1048576 B1:B1048576"/>
    </sheetView>
  </sheetViews>
  <sheetFormatPr defaultRowHeight="14.4" x14ac:dyDescent="0.3"/>
  <cols>
    <col min="1" max="1" width="27.33203125" bestFit="1" customWidth="1"/>
    <col min="2" max="2" width="23.6640625" bestFit="1" customWidth="1"/>
    <col min="6" max="6" width="36.6640625" customWidth="1"/>
  </cols>
  <sheetData>
    <row r="1" spans="1:6" ht="22.2" thickTop="1" thickBot="1" x14ac:dyDescent="0.45">
      <c r="A1" s="8" t="s">
        <v>0</v>
      </c>
      <c r="B1" s="8" t="s">
        <v>1</v>
      </c>
      <c r="F1" s="10"/>
    </row>
    <row r="2" spans="1:6" ht="15" thickTop="1" x14ac:dyDescent="0.3">
      <c r="A2" s="5" t="s">
        <v>2</v>
      </c>
      <c r="B2" s="4" t="s">
        <v>125</v>
      </c>
      <c r="F2" s="10"/>
    </row>
    <row r="3" spans="1:6" x14ac:dyDescent="0.3">
      <c r="A3" s="6" t="s">
        <v>127</v>
      </c>
      <c r="B3" s="3" t="s">
        <v>126</v>
      </c>
      <c r="F3" s="10"/>
    </row>
    <row r="4" spans="1:6" x14ac:dyDescent="0.3">
      <c r="A4" s="6" t="s">
        <v>3</v>
      </c>
      <c r="B4" s="3" t="s">
        <v>21</v>
      </c>
      <c r="F4" s="9"/>
    </row>
    <row r="5" spans="1:6" x14ac:dyDescent="0.3">
      <c r="A5" s="6" t="s">
        <v>4</v>
      </c>
      <c r="B5" s="3" t="s">
        <v>22</v>
      </c>
    </row>
    <row r="6" spans="1:6" x14ac:dyDescent="0.3">
      <c r="A6" s="6" t="s">
        <v>5</v>
      </c>
      <c r="B6" s="3" t="s">
        <v>23</v>
      </c>
    </row>
    <row r="7" spans="1:6" x14ac:dyDescent="0.3">
      <c r="A7" s="6" t="s">
        <v>6</v>
      </c>
      <c r="B7" s="3" t="s">
        <v>24</v>
      </c>
    </row>
    <row r="8" spans="1:6" x14ac:dyDescent="0.3">
      <c r="A8" s="6" t="s">
        <v>7</v>
      </c>
      <c r="B8" s="3" t="s">
        <v>25</v>
      </c>
    </row>
    <row r="9" spans="1:6" x14ac:dyDescent="0.3">
      <c r="A9" s="6" t="s">
        <v>8</v>
      </c>
      <c r="B9" s="3" t="s">
        <v>26</v>
      </c>
    </row>
    <row r="10" spans="1:6" x14ac:dyDescent="0.3">
      <c r="A10" s="6" t="s">
        <v>9</v>
      </c>
      <c r="B10" s="3" t="s">
        <v>27</v>
      </c>
    </row>
    <row r="11" spans="1:6" x14ac:dyDescent="0.3">
      <c r="A11" s="6" t="s">
        <v>10</v>
      </c>
      <c r="B11" s="3" t="s">
        <v>28</v>
      </c>
    </row>
    <row r="12" spans="1:6" x14ac:dyDescent="0.3">
      <c r="A12" s="6" t="s">
        <v>11</v>
      </c>
      <c r="B12" s="3" t="s">
        <v>20</v>
      </c>
    </row>
    <row r="13" spans="1:6" x14ac:dyDescent="0.3">
      <c r="A13" s="6" t="s">
        <v>12</v>
      </c>
      <c r="B13" s="3" t="s">
        <v>16</v>
      </c>
    </row>
    <row r="14" spans="1:6" x14ac:dyDescent="0.3">
      <c r="A14" s="6" t="s">
        <v>13</v>
      </c>
      <c r="B14" s="3" t="s">
        <v>29</v>
      </c>
    </row>
    <row r="15" spans="1:6" x14ac:dyDescent="0.3">
      <c r="A15" s="6" t="s">
        <v>3</v>
      </c>
      <c r="B15" s="3" t="s">
        <v>30</v>
      </c>
    </row>
    <row r="16" spans="1:6" x14ac:dyDescent="0.3">
      <c r="A16" s="6" t="s">
        <v>14</v>
      </c>
      <c r="B16" s="3" t="s">
        <v>18</v>
      </c>
    </row>
    <row r="17" spans="1:2" x14ac:dyDescent="0.3">
      <c r="A17" s="6" t="s">
        <v>15</v>
      </c>
      <c r="B17" s="3" t="s">
        <v>31</v>
      </c>
    </row>
    <row r="18" spans="1:2" x14ac:dyDescent="0.3">
      <c r="A18" s="6" t="s">
        <v>16</v>
      </c>
      <c r="B18" s="3" t="s">
        <v>32</v>
      </c>
    </row>
    <row r="19" spans="1:2" x14ac:dyDescent="0.3">
      <c r="A19" s="6" t="s">
        <v>17</v>
      </c>
      <c r="B19" s="3" t="s">
        <v>33</v>
      </c>
    </row>
    <row r="20" spans="1:2" x14ac:dyDescent="0.3">
      <c r="A20" s="6" t="s">
        <v>18</v>
      </c>
      <c r="B20" s="3" t="s">
        <v>34</v>
      </c>
    </row>
    <row r="21" spans="1:2" x14ac:dyDescent="0.3">
      <c r="A21" s="6" t="s">
        <v>19</v>
      </c>
      <c r="B21" s="3" t="s">
        <v>35</v>
      </c>
    </row>
    <row r="22" spans="1:2" x14ac:dyDescent="0.3">
      <c r="A22" s="6" t="s">
        <v>20</v>
      </c>
      <c r="B22" s="3" t="s">
        <v>15</v>
      </c>
    </row>
    <row r="23" spans="1:2" x14ac:dyDescent="0.3">
      <c r="A23" s="6" t="s">
        <v>75</v>
      </c>
      <c r="B23" s="3" t="s">
        <v>36</v>
      </c>
    </row>
    <row r="24" spans="1:2" x14ac:dyDescent="0.3">
      <c r="A24" s="6" t="s">
        <v>55</v>
      </c>
      <c r="B24" s="6" t="s">
        <v>37</v>
      </c>
    </row>
    <row r="25" spans="1:2" x14ac:dyDescent="0.3">
      <c r="A25" s="6" t="s">
        <v>62</v>
      </c>
      <c r="B25" s="6" t="s">
        <v>38</v>
      </c>
    </row>
    <row r="26" spans="1:2" x14ac:dyDescent="0.3">
      <c r="A26" s="6" t="s">
        <v>58</v>
      </c>
      <c r="B26" s="6"/>
    </row>
    <row r="27" spans="1:2" x14ac:dyDescent="0.3">
      <c r="A27" s="6" t="s">
        <v>91</v>
      </c>
      <c r="B27" s="6"/>
    </row>
    <row r="28" spans="1:2" x14ac:dyDescent="0.3">
      <c r="A28" s="6" t="s">
        <v>89</v>
      </c>
      <c r="B28" s="6"/>
    </row>
    <row r="29" spans="1:2" x14ac:dyDescent="0.3">
      <c r="A29" s="6" t="s">
        <v>88</v>
      </c>
      <c r="B29" s="7"/>
    </row>
    <row r="30" spans="1:2" x14ac:dyDescent="0.3">
      <c r="A30" s="6"/>
      <c r="B30" s="6"/>
    </row>
    <row r="31" spans="1:2" ht="15" thickBot="1" x14ac:dyDescent="0.35">
      <c r="A31" s="17"/>
      <c r="B31" s="17"/>
    </row>
    <row r="32" spans="1:2" ht="15" thickTop="1" x14ac:dyDescent="0.3">
      <c r="A32" s="1"/>
      <c r="B32" s="1"/>
    </row>
    <row r="34" spans="1:3" x14ac:dyDescent="0.3">
      <c r="A34" s="1">
        <f>COUNTA(A2:A31)</f>
        <v>28</v>
      </c>
      <c r="B34" s="1">
        <f>COUNTA(B2:B31)</f>
        <v>24</v>
      </c>
      <c r="C34">
        <f>SUM(A34:B34)</f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0D12-4D75-4A6A-BBF0-0874EA894E91}">
  <dimension ref="A1:G74"/>
  <sheetViews>
    <sheetView tabSelected="1" zoomScale="130" zoomScaleNormal="130" workbookViewId="0">
      <selection activeCell="G9" sqref="G9"/>
    </sheetView>
  </sheetViews>
  <sheetFormatPr defaultRowHeight="14.4" x14ac:dyDescent="0.3"/>
  <cols>
    <col min="1" max="1" width="12.21875" bestFit="1" customWidth="1"/>
    <col min="2" max="2" width="27.33203125" bestFit="1" customWidth="1"/>
    <col min="3" max="3" width="23.6640625" bestFit="1" customWidth="1"/>
    <col min="7" max="7" width="41.109375" customWidth="1"/>
  </cols>
  <sheetData>
    <row r="1" spans="1:7" ht="22.2" thickTop="1" thickBot="1" x14ac:dyDescent="0.45">
      <c r="B1" s="8" t="s">
        <v>0</v>
      </c>
      <c r="C1" s="8" t="s">
        <v>1</v>
      </c>
      <c r="G1" s="10"/>
    </row>
    <row r="2" spans="1:7" ht="15" customHeight="1" thickTop="1" x14ac:dyDescent="0.3">
      <c r="A2" s="19" t="s">
        <v>76</v>
      </c>
      <c r="B2" s="14" t="s">
        <v>3</v>
      </c>
      <c r="C2" s="11" t="s">
        <v>21</v>
      </c>
      <c r="G2" s="10"/>
    </row>
    <row r="3" spans="1:7" x14ac:dyDescent="0.3">
      <c r="A3" s="19"/>
      <c r="B3" s="11" t="s">
        <v>6</v>
      </c>
      <c r="C3" s="12" t="s">
        <v>22</v>
      </c>
      <c r="G3" s="10"/>
    </row>
    <row r="4" spans="1:7" x14ac:dyDescent="0.3">
      <c r="A4" s="19"/>
      <c r="B4" s="13" t="s">
        <v>71</v>
      </c>
      <c r="C4" s="12" t="s">
        <v>37</v>
      </c>
      <c r="G4" s="9"/>
    </row>
    <row r="5" spans="1:7" x14ac:dyDescent="0.3">
      <c r="A5" s="19"/>
      <c r="B5" s="12" t="s">
        <v>7</v>
      </c>
      <c r="C5" s="12" t="s">
        <v>43</v>
      </c>
    </row>
    <row r="6" spans="1:7" ht="15" thickBot="1" x14ac:dyDescent="0.35">
      <c r="A6" s="20"/>
      <c r="B6" s="16" t="s">
        <v>112</v>
      </c>
      <c r="C6" s="11" t="s">
        <v>39</v>
      </c>
    </row>
    <row r="7" spans="1:7" ht="14.4" customHeight="1" thickTop="1" x14ac:dyDescent="0.3">
      <c r="A7" s="21" t="s">
        <v>77</v>
      </c>
      <c r="B7" s="11" t="s">
        <v>54</v>
      </c>
      <c r="C7" s="11" t="s">
        <v>40</v>
      </c>
    </row>
    <row r="8" spans="1:7" ht="14.4" customHeight="1" x14ac:dyDescent="0.3">
      <c r="A8" s="19"/>
      <c r="B8" s="11" t="s">
        <v>95</v>
      </c>
      <c r="C8" s="11" t="s">
        <v>41</v>
      </c>
    </row>
    <row r="9" spans="1:7" ht="14.4" customHeight="1" x14ac:dyDescent="0.3">
      <c r="A9" s="19"/>
      <c r="B9" s="11" t="s">
        <v>96</v>
      </c>
      <c r="C9" s="11" t="s">
        <v>42</v>
      </c>
    </row>
    <row r="10" spans="1:7" ht="18" customHeight="1" x14ac:dyDescent="0.3">
      <c r="A10" s="19"/>
      <c r="B10" s="11" t="s">
        <v>97</v>
      </c>
      <c r="C10" s="11" t="s">
        <v>44</v>
      </c>
    </row>
    <row r="11" spans="1:7" ht="18" customHeight="1" thickBot="1" x14ac:dyDescent="0.35">
      <c r="A11" s="20"/>
      <c r="B11" s="16" t="s">
        <v>98</v>
      </c>
      <c r="C11" s="11" t="s">
        <v>45</v>
      </c>
    </row>
    <row r="12" spans="1:7" ht="18" customHeight="1" thickTop="1" x14ac:dyDescent="0.3">
      <c r="A12" s="21" t="s">
        <v>79</v>
      </c>
      <c r="B12" s="3" t="s">
        <v>101</v>
      </c>
      <c r="C12" s="11" t="s">
        <v>48</v>
      </c>
    </row>
    <row r="13" spans="1:7" ht="18" customHeight="1" x14ac:dyDescent="0.3">
      <c r="A13" s="19"/>
      <c r="B13" s="3" t="s">
        <v>123</v>
      </c>
      <c r="C13" s="11" t="s">
        <v>47</v>
      </c>
    </row>
    <row r="14" spans="1:7" ht="18" customHeight="1" x14ac:dyDescent="0.3">
      <c r="A14" s="19"/>
      <c r="B14" s="11" t="s">
        <v>93</v>
      </c>
      <c r="C14" s="11" t="s">
        <v>46</v>
      </c>
    </row>
    <row r="15" spans="1:7" ht="14.4" customHeight="1" x14ac:dyDescent="0.3">
      <c r="A15" s="19"/>
      <c r="B15" s="11" t="s">
        <v>99</v>
      </c>
      <c r="C15" s="11" t="s">
        <v>14</v>
      </c>
    </row>
    <row r="16" spans="1:7" ht="14.4" customHeight="1" x14ac:dyDescent="0.3">
      <c r="A16" s="19"/>
      <c r="B16" s="11" t="s">
        <v>100</v>
      </c>
      <c r="C16" s="11" t="s">
        <v>49</v>
      </c>
    </row>
    <row r="17" spans="1:3" x14ac:dyDescent="0.3">
      <c r="A17" s="19"/>
      <c r="B17" s="11" t="s">
        <v>119</v>
      </c>
      <c r="C17" s="11" t="s">
        <v>50</v>
      </c>
    </row>
    <row r="18" spans="1:3" x14ac:dyDescent="0.3">
      <c r="A18" s="19"/>
      <c r="B18" s="11" t="s">
        <v>122</v>
      </c>
      <c r="C18" s="12" t="s">
        <v>34</v>
      </c>
    </row>
    <row r="19" spans="1:3" x14ac:dyDescent="0.3">
      <c r="A19" s="19"/>
      <c r="B19" s="11" t="s">
        <v>120</v>
      </c>
      <c r="C19" s="7"/>
    </row>
    <row r="20" spans="1:3" ht="15" thickBot="1" x14ac:dyDescent="0.35">
      <c r="A20" s="20"/>
      <c r="B20" s="16" t="s">
        <v>121</v>
      </c>
      <c r="C20" s="11"/>
    </row>
    <row r="21" spans="1:3" ht="15" thickTop="1" x14ac:dyDescent="0.3">
      <c r="A21" s="21" t="s">
        <v>80</v>
      </c>
      <c r="B21" s="11" t="s">
        <v>89</v>
      </c>
      <c r="C21" s="11"/>
    </row>
    <row r="22" spans="1:3" x14ac:dyDescent="0.3">
      <c r="A22" s="19"/>
      <c r="B22" s="11" t="s">
        <v>91</v>
      </c>
      <c r="C22" s="12"/>
    </row>
    <row r="23" spans="1:3" x14ac:dyDescent="0.3">
      <c r="A23" s="19"/>
      <c r="B23" s="11" t="s">
        <v>92</v>
      </c>
      <c r="C23" s="12"/>
    </row>
    <row r="24" spans="1:3" ht="14.4" customHeight="1" x14ac:dyDescent="0.3">
      <c r="A24" s="19"/>
      <c r="B24" s="11" t="s">
        <v>90</v>
      </c>
      <c r="C24" s="7"/>
    </row>
    <row r="25" spans="1:3" x14ac:dyDescent="0.3">
      <c r="A25" s="19"/>
      <c r="B25" s="11" t="s">
        <v>70</v>
      </c>
      <c r="C25" s="7"/>
    </row>
    <row r="26" spans="1:3" x14ac:dyDescent="0.3">
      <c r="A26" s="19"/>
      <c r="B26" s="11" t="s">
        <v>72</v>
      </c>
      <c r="C26" s="7"/>
    </row>
    <row r="27" spans="1:3" x14ac:dyDescent="0.3">
      <c r="A27" s="19"/>
      <c r="B27" s="11" t="s">
        <v>88</v>
      </c>
      <c r="C27" s="7"/>
    </row>
    <row r="28" spans="1:3" x14ac:dyDescent="0.3">
      <c r="A28" s="19"/>
      <c r="B28" s="11" t="s">
        <v>124</v>
      </c>
      <c r="C28" s="7"/>
    </row>
    <row r="29" spans="1:3" x14ac:dyDescent="0.3">
      <c r="A29" s="19"/>
      <c r="B29" s="11" t="s">
        <v>83</v>
      </c>
      <c r="C29" s="7"/>
    </row>
    <row r="30" spans="1:3" x14ac:dyDescent="0.3">
      <c r="A30" s="19"/>
      <c r="B30" s="11" t="s">
        <v>94</v>
      </c>
      <c r="C30" s="7"/>
    </row>
    <row r="31" spans="1:3" x14ac:dyDescent="0.3">
      <c r="A31" s="19"/>
      <c r="B31" s="11" t="s">
        <v>114</v>
      </c>
      <c r="C31" s="2"/>
    </row>
    <row r="32" spans="1:3" x14ac:dyDescent="0.3">
      <c r="A32" s="19"/>
      <c r="B32" s="11" t="s">
        <v>115</v>
      </c>
      <c r="C32" s="2"/>
    </row>
    <row r="33" spans="1:3" x14ac:dyDescent="0.3">
      <c r="A33" s="19"/>
      <c r="B33" s="12" t="s">
        <v>116</v>
      </c>
      <c r="C33" s="2"/>
    </row>
    <row r="34" spans="1:3" ht="15" thickBot="1" x14ac:dyDescent="0.35">
      <c r="A34" s="20"/>
      <c r="B34" s="15" t="s">
        <v>117</v>
      </c>
      <c r="C34" s="2"/>
    </row>
    <row r="35" spans="1:3" ht="15" thickTop="1" x14ac:dyDescent="0.3">
      <c r="A35" s="21" t="s">
        <v>78</v>
      </c>
      <c r="B35" s="11" t="s">
        <v>55</v>
      </c>
      <c r="C35" s="2"/>
    </row>
    <row r="36" spans="1:3" x14ac:dyDescent="0.3">
      <c r="A36" s="19"/>
      <c r="B36" s="11" t="s">
        <v>56</v>
      </c>
      <c r="C36" s="2"/>
    </row>
    <row r="37" spans="1:3" x14ac:dyDescent="0.3">
      <c r="A37" s="19"/>
      <c r="B37" s="11" t="s">
        <v>57</v>
      </c>
      <c r="C37" s="2"/>
    </row>
    <row r="38" spans="1:3" ht="15" customHeight="1" x14ac:dyDescent="0.3">
      <c r="A38" s="19"/>
      <c r="B38" s="11" t="s">
        <v>58</v>
      </c>
      <c r="C38" s="11"/>
    </row>
    <row r="39" spans="1:3" x14ac:dyDescent="0.3">
      <c r="A39" s="19"/>
      <c r="B39" s="11" t="s">
        <v>59</v>
      </c>
      <c r="C39" s="11"/>
    </row>
    <row r="40" spans="1:3" x14ac:dyDescent="0.3">
      <c r="A40" s="19"/>
      <c r="B40" s="11" t="s">
        <v>60</v>
      </c>
      <c r="C40" s="11"/>
    </row>
    <row r="41" spans="1:3" x14ac:dyDescent="0.3">
      <c r="A41" s="19"/>
      <c r="B41" s="11" t="s">
        <v>61</v>
      </c>
      <c r="C41" s="11"/>
    </row>
    <row r="42" spans="1:3" x14ac:dyDescent="0.3">
      <c r="A42" s="19"/>
      <c r="B42" s="11" t="s">
        <v>62</v>
      </c>
      <c r="C42" s="11"/>
    </row>
    <row r="43" spans="1:3" x14ac:dyDescent="0.3">
      <c r="A43" s="19"/>
      <c r="B43" s="11" t="s">
        <v>63</v>
      </c>
      <c r="C43" s="12"/>
    </row>
    <row r="44" spans="1:3" x14ac:dyDescent="0.3">
      <c r="A44" s="19"/>
      <c r="B44" s="11" t="s">
        <v>64</v>
      </c>
      <c r="C44" s="12"/>
    </row>
    <row r="45" spans="1:3" x14ac:dyDescent="0.3">
      <c r="A45" s="19"/>
      <c r="B45" s="11" t="s">
        <v>65</v>
      </c>
      <c r="C45" s="11"/>
    </row>
    <row r="46" spans="1:3" x14ac:dyDescent="0.3">
      <c r="A46" s="19"/>
      <c r="B46" s="11" t="s">
        <v>66</v>
      </c>
      <c r="C46" s="11"/>
    </row>
    <row r="47" spans="1:3" x14ac:dyDescent="0.3">
      <c r="A47" s="19"/>
      <c r="B47" s="11" t="s">
        <v>67</v>
      </c>
      <c r="C47" s="12"/>
    </row>
    <row r="48" spans="1:3" x14ac:dyDescent="0.3">
      <c r="A48" s="19"/>
      <c r="B48" s="11" t="s">
        <v>69</v>
      </c>
      <c r="C48" s="12"/>
    </row>
    <row r="49" spans="1:3" x14ac:dyDescent="0.3">
      <c r="A49" s="19"/>
      <c r="B49" s="11" t="s">
        <v>113</v>
      </c>
      <c r="C49" s="12"/>
    </row>
    <row r="50" spans="1:3" x14ac:dyDescent="0.3">
      <c r="A50" s="19"/>
      <c r="B50" s="13" t="s">
        <v>84</v>
      </c>
      <c r="C50" s="12"/>
    </row>
    <row r="51" spans="1:3" x14ac:dyDescent="0.3">
      <c r="A51" s="19"/>
      <c r="B51" s="13" t="s">
        <v>73</v>
      </c>
      <c r="C51" s="12"/>
    </row>
    <row r="52" spans="1:3" x14ac:dyDescent="0.3">
      <c r="A52" s="19"/>
      <c r="B52" s="13" t="s">
        <v>74</v>
      </c>
      <c r="C52" s="12"/>
    </row>
    <row r="53" spans="1:3" x14ac:dyDescent="0.3">
      <c r="A53" s="19"/>
      <c r="B53" s="11" t="s">
        <v>85</v>
      </c>
      <c r="C53" s="12"/>
    </row>
    <row r="54" spans="1:3" x14ac:dyDescent="0.3">
      <c r="A54" s="19"/>
      <c r="B54" s="11" t="s">
        <v>86</v>
      </c>
      <c r="C54" s="12"/>
    </row>
    <row r="55" spans="1:3" x14ac:dyDescent="0.3">
      <c r="A55" s="19"/>
      <c r="B55" s="11" t="s">
        <v>87</v>
      </c>
      <c r="C55" s="12"/>
    </row>
    <row r="56" spans="1:3" x14ac:dyDescent="0.3">
      <c r="A56" s="19"/>
      <c r="B56" s="11" t="s">
        <v>102</v>
      </c>
      <c r="C56" s="12"/>
    </row>
    <row r="57" spans="1:3" ht="15" thickBot="1" x14ac:dyDescent="0.35">
      <c r="A57" s="20"/>
      <c r="B57" s="16" t="s">
        <v>118</v>
      </c>
      <c r="C57" s="12"/>
    </row>
    <row r="58" spans="1:3" ht="15" customHeight="1" thickTop="1" x14ac:dyDescent="0.3">
      <c r="A58" s="19" t="s">
        <v>82</v>
      </c>
      <c r="B58" s="11" t="s">
        <v>104</v>
      </c>
      <c r="C58" s="12"/>
    </row>
    <row r="59" spans="1:3" x14ac:dyDescent="0.3">
      <c r="A59" s="19"/>
      <c r="B59" s="11" t="s">
        <v>75</v>
      </c>
      <c r="C59" s="12"/>
    </row>
    <row r="60" spans="1:3" x14ac:dyDescent="0.3">
      <c r="A60" s="19"/>
      <c r="B60" s="11" t="s">
        <v>31</v>
      </c>
      <c r="C60" s="11"/>
    </row>
    <row r="61" spans="1:3" ht="15" customHeight="1" x14ac:dyDescent="0.3">
      <c r="A61" s="19"/>
      <c r="B61" s="11" t="s">
        <v>103</v>
      </c>
      <c r="C61" s="11"/>
    </row>
    <row r="62" spans="1:3" x14ac:dyDescent="0.3">
      <c r="A62" s="19"/>
      <c r="B62" s="11" t="s">
        <v>105</v>
      </c>
      <c r="C62" s="11"/>
    </row>
    <row r="63" spans="1:3" x14ac:dyDescent="0.3">
      <c r="A63" s="19"/>
      <c r="B63" s="11" t="s">
        <v>106</v>
      </c>
      <c r="C63" s="11"/>
    </row>
    <row r="64" spans="1:3" x14ac:dyDescent="0.3">
      <c r="A64" s="19"/>
      <c r="B64" s="11" t="s">
        <v>107</v>
      </c>
      <c r="C64" s="12"/>
    </row>
    <row r="65" spans="1:4" x14ac:dyDescent="0.3">
      <c r="A65" s="19"/>
      <c r="B65" s="11" t="s">
        <v>108</v>
      </c>
      <c r="C65" s="12"/>
    </row>
    <row r="66" spans="1:4" x14ac:dyDescent="0.3">
      <c r="A66" s="19"/>
      <c r="B66" s="11" t="s">
        <v>109</v>
      </c>
      <c r="C66" s="7"/>
    </row>
    <row r="67" spans="1:4" x14ac:dyDescent="0.3">
      <c r="A67" s="19"/>
      <c r="B67" s="11" t="s">
        <v>110</v>
      </c>
      <c r="C67" s="7"/>
    </row>
    <row r="68" spans="1:4" ht="15" thickBot="1" x14ac:dyDescent="0.35">
      <c r="A68" s="20"/>
      <c r="B68" s="16" t="s">
        <v>111</v>
      </c>
      <c r="C68" s="7"/>
    </row>
    <row r="69" spans="1:4" ht="15" thickTop="1" x14ac:dyDescent="0.3">
      <c r="A69" s="21" t="s">
        <v>81</v>
      </c>
      <c r="B69" s="11" t="s">
        <v>68</v>
      </c>
      <c r="C69" s="7"/>
    </row>
    <row r="70" spans="1:4" x14ac:dyDescent="0.3">
      <c r="A70" s="19"/>
      <c r="B70" s="11" t="s">
        <v>52</v>
      </c>
      <c r="C70" s="7"/>
    </row>
    <row r="71" spans="1:4" x14ac:dyDescent="0.3">
      <c r="A71" s="19"/>
      <c r="B71" s="11" t="s">
        <v>51</v>
      </c>
      <c r="C71" s="7"/>
    </row>
    <row r="72" spans="1:4" ht="15" thickBot="1" x14ac:dyDescent="0.35">
      <c r="A72" s="20"/>
      <c r="B72" s="16" t="s">
        <v>53</v>
      </c>
      <c r="C72" s="17"/>
    </row>
    <row r="73" spans="1:4" ht="15" thickTop="1" x14ac:dyDescent="0.3"/>
    <row r="74" spans="1:4" x14ac:dyDescent="0.3">
      <c r="B74" s="1">
        <f>COUNTA(B2:B72)</f>
        <v>71</v>
      </c>
      <c r="C74" s="1">
        <f>COUNTA(C2:C72)</f>
        <v>17</v>
      </c>
      <c r="D74">
        <f>SUM(B74:C74)</f>
        <v>88</v>
      </c>
    </row>
  </sheetData>
  <mergeCells count="7">
    <mergeCell ref="A58:A68"/>
    <mergeCell ref="A69:A72"/>
    <mergeCell ref="A2:A6"/>
    <mergeCell ref="A7:A11"/>
    <mergeCell ref="A12:A20"/>
    <mergeCell ref="A21:A34"/>
    <mergeCell ref="A35:A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C3A0-BF94-46AE-BFDE-FABC963664EA}">
  <dimension ref="A1:K58"/>
  <sheetViews>
    <sheetView topLeftCell="F1" zoomScale="107" zoomScaleNormal="74" workbookViewId="0">
      <selection activeCell="P1" sqref="P1"/>
    </sheetView>
  </sheetViews>
  <sheetFormatPr defaultRowHeight="14.4" x14ac:dyDescent="0.3"/>
  <cols>
    <col min="1" max="1" width="23.109375" bestFit="1" customWidth="1"/>
    <col min="2" max="2" width="15.21875" bestFit="1" customWidth="1"/>
    <col min="3" max="3" width="15.77734375" bestFit="1" customWidth="1"/>
    <col min="5" max="5" width="15.44140625" bestFit="1" customWidth="1"/>
    <col min="6" max="6" width="15.21875" bestFit="1" customWidth="1"/>
    <col min="7" max="7" width="15.77734375" bestFit="1" customWidth="1"/>
    <col min="9" max="9" width="17.44140625" bestFit="1" customWidth="1"/>
    <col min="11" max="11" width="21.109375" bestFit="1" customWidth="1"/>
  </cols>
  <sheetData>
    <row r="1" spans="1:11" x14ac:dyDescent="0.3">
      <c r="A1" s="18" t="s">
        <v>128</v>
      </c>
      <c r="B1" s="18" t="s">
        <v>129</v>
      </c>
      <c r="C1" s="18" t="s">
        <v>133</v>
      </c>
      <c r="E1" s="18" t="s">
        <v>130</v>
      </c>
      <c r="F1" s="18" t="s">
        <v>129</v>
      </c>
      <c r="G1" s="18" t="s">
        <v>133</v>
      </c>
      <c r="I1" s="18" t="s">
        <v>131</v>
      </c>
      <c r="K1" s="18" t="s">
        <v>164</v>
      </c>
    </row>
    <row r="2" spans="1:11" x14ac:dyDescent="0.3">
      <c r="A2" t="s">
        <v>132</v>
      </c>
      <c r="B2">
        <v>2</v>
      </c>
      <c r="C2">
        <v>10</v>
      </c>
      <c r="E2" t="s">
        <v>136</v>
      </c>
      <c r="F2">
        <v>2</v>
      </c>
      <c r="G2">
        <v>25</v>
      </c>
      <c r="I2" t="s">
        <v>144</v>
      </c>
      <c r="K2" t="s">
        <v>196</v>
      </c>
    </row>
    <row r="3" spans="1:11" x14ac:dyDescent="0.3">
      <c r="A3" t="s">
        <v>135</v>
      </c>
      <c r="B3">
        <v>2</v>
      </c>
      <c r="C3">
        <v>30</v>
      </c>
      <c r="E3" t="s">
        <v>139</v>
      </c>
      <c r="F3">
        <v>3</v>
      </c>
      <c r="G3">
        <v>10</v>
      </c>
      <c r="I3" t="s">
        <v>170</v>
      </c>
      <c r="K3" t="s">
        <v>207</v>
      </c>
    </row>
    <row r="4" spans="1:11" x14ac:dyDescent="0.3">
      <c r="A4" t="s">
        <v>157</v>
      </c>
      <c r="B4">
        <v>3</v>
      </c>
      <c r="C4">
        <v>10</v>
      </c>
      <c r="E4" t="s">
        <v>134</v>
      </c>
      <c r="F4">
        <v>2</v>
      </c>
      <c r="G4">
        <v>55</v>
      </c>
      <c r="I4" t="s">
        <v>171</v>
      </c>
      <c r="K4" t="s">
        <v>208</v>
      </c>
    </row>
    <row r="5" spans="1:11" x14ac:dyDescent="0.3">
      <c r="A5" t="s">
        <v>153</v>
      </c>
      <c r="B5">
        <v>3</v>
      </c>
      <c r="C5">
        <v>30</v>
      </c>
      <c r="E5" t="s">
        <v>169</v>
      </c>
      <c r="F5">
        <v>2</v>
      </c>
      <c r="G5">
        <v>15</v>
      </c>
      <c r="I5" t="s">
        <v>175</v>
      </c>
      <c r="K5" t="s">
        <v>209</v>
      </c>
    </row>
    <row r="6" spans="1:11" x14ac:dyDescent="0.3">
      <c r="A6" t="s">
        <v>137</v>
      </c>
      <c r="B6">
        <v>2</v>
      </c>
      <c r="C6">
        <v>50</v>
      </c>
      <c r="E6" t="s">
        <v>143</v>
      </c>
      <c r="F6">
        <v>2</v>
      </c>
      <c r="G6">
        <v>45</v>
      </c>
      <c r="I6" t="s">
        <v>176</v>
      </c>
      <c r="K6" t="s">
        <v>226</v>
      </c>
    </row>
    <row r="7" spans="1:11" x14ac:dyDescent="0.3">
      <c r="A7" t="s">
        <v>162</v>
      </c>
      <c r="B7">
        <v>2</v>
      </c>
      <c r="C7">
        <v>40</v>
      </c>
      <c r="E7" t="s">
        <v>141</v>
      </c>
      <c r="F7">
        <v>3</v>
      </c>
      <c r="G7">
        <v>20</v>
      </c>
      <c r="I7" t="s">
        <v>180</v>
      </c>
      <c r="K7" t="s">
        <v>227</v>
      </c>
    </row>
    <row r="8" spans="1:11" x14ac:dyDescent="0.3">
      <c r="A8" t="s">
        <v>154</v>
      </c>
      <c r="B8">
        <v>2</v>
      </c>
      <c r="C8">
        <v>45</v>
      </c>
      <c r="E8" t="s">
        <v>211</v>
      </c>
      <c r="F8">
        <v>2</v>
      </c>
      <c r="G8">
        <v>30</v>
      </c>
      <c r="I8" t="s">
        <v>181</v>
      </c>
      <c r="K8" t="s">
        <v>243</v>
      </c>
    </row>
    <row r="9" spans="1:11" x14ac:dyDescent="0.3">
      <c r="A9" t="s">
        <v>187</v>
      </c>
      <c r="B9">
        <v>4</v>
      </c>
      <c r="C9">
        <v>0</v>
      </c>
      <c r="E9" t="s">
        <v>138</v>
      </c>
      <c r="F9">
        <v>3</v>
      </c>
      <c r="G9">
        <v>15</v>
      </c>
      <c r="I9" t="s">
        <v>182</v>
      </c>
      <c r="K9" t="s">
        <v>244</v>
      </c>
    </row>
    <row r="10" spans="1:11" x14ac:dyDescent="0.3">
      <c r="A10" t="s">
        <v>237</v>
      </c>
      <c r="B10">
        <v>3</v>
      </c>
      <c r="C10">
        <v>25</v>
      </c>
      <c r="E10" t="s">
        <v>193</v>
      </c>
      <c r="F10">
        <v>3</v>
      </c>
      <c r="G10">
        <v>15</v>
      </c>
      <c r="I10" t="s">
        <v>194</v>
      </c>
      <c r="K10" t="s">
        <v>245</v>
      </c>
    </row>
    <row r="11" spans="1:11" x14ac:dyDescent="0.3">
      <c r="A11" t="s">
        <v>183</v>
      </c>
      <c r="B11">
        <v>2</v>
      </c>
      <c r="C11">
        <v>55</v>
      </c>
      <c r="E11" t="s">
        <v>184</v>
      </c>
      <c r="F11">
        <v>1</v>
      </c>
      <c r="G11">
        <v>53</v>
      </c>
      <c r="I11" t="s">
        <v>195</v>
      </c>
      <c r="K11" t="s">
        <v>246</v>
      </c>
    </row>
    <row r="12" spans="1:11" x14ac:dyDescent="0.3">
      <c r="A12" t="s">
        <v>159</v>
      </c>
      <c r="B12">
        <v>2</v>
      </c>
      <c r="C12">
        <v>50</v>
      </c>
      <c r="E12" t="s">
        <v>142</v>
      </c>
      <c r="F12">
        <v>3</v>
      </c>
      <c r="G12">
        <v>5</v>
      </c>
      <c r="I12" t="s">
        <v>201</v>
      </c>
      <c r="K12" t="s">
        <v>251</v>
      </c>
    </row>
    <row r="13" spans="1:11" x14ac:dyDescent="0.3">
      <c r="A13" t="s">
        <v>233</v>
      </c>
      <c r="B13">
        <v>2</v>
      </c>
      <c r="C13">
        <v>30</v>
      </c>
      <c r="E13" t="s">
        <v>177</v>
      </c>
      <c r="F13">
        <v>3</v>
      </c>
      <c r="G13">
        <v>30</v>
      </c>
      <c r="I13" t="s">
        <v>202</v>
      </c>
    </row>
    <row r="14" spans="1:11" x14ac:dyDescent="0.3">
      <c r="A14" t="s">
        <v>161</v>
      </c>
      <c r="B14">
        <v>3</v>
      </c>
      <c r="C14">
        <v>30</v>
      </c>
      <c r="E14" t="s">
        <v>172</v>
      </c>
      <c r="F14">
        <v>3</v>
      </c>
      <c r="G14">
        <v>15</v>
      </c>
      <c r="I14" t="s">
        <v>203</v>
      </c>
    </row>
    <row r="15" spans="1:11" x14ac:dyDescent="0.3">
      <c r="A15" t="s">
        <v>150</v>
      </c>
      <c r="B15">
        <v>2</v>
      </c>
      <c r="C15">
        <v>5</v>
      </c>
      <c r="E15" t="s">
        <v>173</v>
      </c>
      <c r="F15">
        <v>3</v>
      </c>
      <c r="G15">
        <v>5</v>
      </c>
      <c r="I15" t="s">
        <v>204</v>
      </c>
    </row>
    <row r="16" spans="1:11" x14ac:dyDescent="0.3">
      <c r="A16" t="s">
        <v>158</v>
      </c>
      <c r="B16">
        <v>3</v>
      </c>
      <c r="C16">
        <v>30</v>
      </c>
      <c r="E16" t="s">
        <v>148</v>
      </c>
      <c r="F16">
        <v>3</v>
      </c>
      <c r="G16">
        <v>15</v>
      </c>
      <c r="I16" t="s">
        <v>213</v>
      </c>
    </row>
    <row r="17" spans="1:9" x14ac:dyDescent="0.3">
      <c r="A17" t="s">
        <v>228</v>
      </c>
      <c r="B17">
        <v>2</v>
      </c>
      <c r="C17">
        <v>50</v>
      </c>
      <c r="E17" t="s">
        <v>238</v>
      </c>
      <c r="F17">
        <v>3</v>
      </c>
      <c r="G17">
        <v>40</v>
      </c>
      <c r="I17" t="s">
        <v>214</v>
      </c>
    </row>
    <row r="18" spans="1:9" x14ac:dyDescent="0.3">
      <c r="A18" t="s">
        <v>179</v>
      </c>
      <c r="B18">
        <v>3</v>
      </c>
      <c r="C18">
        <v>8</v>
      </c>
      <c r="E18" t="s">
        <v>149</v>
      </c>
      <c r="F18">
        <v>2</v>
      </c>
      <c r="G18">
        <v>40</v>
      </c>
      <c r="I18" t="s">
        <v>216</v>
      </c>
    </row>
    <row r="19" spans="1:9" x14ac:dyDescent="0.3">
      <c r="A19" t="s">
        <v>249</v>
      </c>
      <c r="B19">
        <v>2</v>
      </c>
      <c r="C19">
        <v>7</v>
      </c>
      <c r="E19" t="s">
        <v>239</v>
      </c>
      <c r="F19">
        <v>3</v>
      </c>
      <c r="G19">
        <v>15</v>
      </c>
      <c r="I19" t="s">
        <v>217</v>
      </c>
    </row>
    <row r="20" spans="1:9" x14ac:dyDescent="0.3">
      <c r="A20" t="s">
        <v>198</v>
      </c>
      <c r="B20">
        <v>2</v>
      </c>
      <c r="C20">
        <v>30</v>
      </c>
      <c r="E20" t="s">
        <v>165</v>
      </c>
      <c r="F20">
        <v>3</v>
      </c>
      <c r="G20">
        <v>0</v>
      </c>
      <c r="I20" t="s">
        <v>219</v>
      </c>
    </row>
    <row r="21" spans="1:9" x14ac:dyDescent="0.3">
      <c r="A21" t="s">
        <v>210</v>
      </c>
      <c r="B21">
        <v>3</v>
      </c>
      <c r="C21">
        <v>0</v>
      </c>
      <c r="E21" t="s">
        <v>192</v>
      </c>
      <c r="F21">
        <v>3</v>
      </c>
      <c r="G21">
        <v>0</v>
      </c>
      <c r="I21" t="s">
        <v>220</v>
      </c>
    </row>
    <row r="22" spans="1:9" x14ac:dyDescent="0.3">
      <c r="A22" t="s">
        <v>229</v>
      </c>
      <c r="B22">
        <v>4</v>
      </c>
      <c r="C22">
        <v>30</v>
      </c>
      <c r="I22" t="s">
        <v>221</v>
      </c>
    </row>
    <row r="23" spans="1:9" x14ac:dyDescent="0.3">
      <c r="A23" t="s">
        <v>146</v>
      </c>
      <c r="B23">
        <v>3</v>
      </c>
      <c r="C23">
        <v>30</v>
      </c>
      <c r="I23" t="s">
        <v>222</v>
      </c>
    </row>
    <row r="24" spans="1:9" x14ac:dyDescent="0.3">
      <c r="A24" t="s">
        <v>174</v>
      </c>
      <c r="B24">
        <v>2</v>
      </c>
      <c r="C24">
        <v>25</v>
      </c>
      <c r="I24" t="s">
        <v>223</v>
      </c>
    </row>
    <row r="25" spans="1:9" x14ac:dyDescent="0.3">
      <c r="A25" t="s">
        <v>155</v>
      </c>
      <c r="B25">
        <v>2</v>
      </c>
      <c r="C25">
        <v>45</v>
      </c>
      <c r="I25" t="s">
        <v>224</v>
      </c>
    </row>
    <row r="26" spans="1:9" x14ac:dyDescent="0.3">
      <c r="A26" t="s">
        <v>230</v>
      </c>
      <c r="B26">
        <v>3</v>
      </c>
      <c r="C26">
        <v>0</v>
      </c>
      <c r="I26" t="s">
        <v>225</v>
      </c>
    </row>
    <row r="27" spans="1:9" x14ac:dyDescent="0.3">
      <c r="A27" t="s">
        <v>168</v>
      </c>
      <c r="B27">
        <v>4</v>
      </c>
      <c r="C27">
        <v>20</v>
      </c>
      <c r="I27" t="s">
        <v>241</v>
      </c>
    </row>
    <row r="28" spans="1:9" x14ac:dyDescent="0.3">
      <c r="A28" t="s">
        <v>200</v>
      </c>
      <c r="B28">
        <v>3</v>
      </c>
      <c r="C28">
        <v>0</v>
      </c>
      <c r="I28" t="s">
        <v>242</v>
      </c>
    </row>
    <row r="29" spans="1:9" x14ac:dyDescent="0.3">
      <c r="A29" t="s">
        <v>240</v>
      </c>
      <c r="B29">
        <v>3</v>
      </c>
      <c r="C29">
        <v>0</v>
      </c>
      <c r="I29" t="s">
        <v>247</v>
      </c>
    </row>
    <row r="30" spans="1:9" x14ac:dyDescent="0.3">
      <c r="A30" t="s">
        <v>248</v>
      </c>
      <c r="B30">
        <v>2</v>
      </c>
      <c r="C30">
        <v>20</v>
      </c>
      <c r="I30" t="s">
        <v>235</v>
      </c>
    </row>
    <row r="31" spans="1:9" x14ac:dyDescent="0.3">
      <c r="A31" t="s">
        <v>160</v>
      </c>
      <c r="B31">
        <v>2</v>
      </c>
      <c r="C31">
        <v>35</v>
      </c>
      <c r="I31" t="s">
        <v>234</v>
      </c>
    </row>
    <row r="32" spans="1:9" x14ac:dyDescent="0.3">
      <c r="A32" t="s">
        <v>145</v>
      </c>
      <c r="B32">
        <v>2</v>
      </c>
      <c r="C32">
        <v>30</v>
      </c>
      <c r="I32" t="s">
        <v>236</v>
      </c>
    </row>
    <row r="33" spans="1:3" x14ac:dyDescent="0.3">
      <c r="A33" t="s">
        <v>185</v>
      </c>
      <c r="B33">
        <v>3</v>
      </c>
      <c r="C33">
        <v>45</v>
      </c>
    </row>
    <row r="34" spans="1:3" x14ac:dyDescent="0.3">
      <c r="A34" t="s">
        <v>186</v>
      </c>
      <c r="B34">
        <v>3</v>
      </c>
      <c r="C34">
        <v>40</v>
      </c>
    </row>
    <row r="35" spans="1:3" x14ac:dyDescent="0.3">
      <c r="A35" t="s">
        <v>189</v>
      </c>
      <c r="B35">
        <v>2</v>
      </c>
      <c r="C35">
        <v>50</v>
      </c>
    </row>
    <row r="36" spans="1:3" x14ac:dyDescent="0.3">
      <c r="A36" t="s">
        <v>197</v>
      </c>
      <c r="B36">
        <v>3</v>
      </c>
      <c r="C36">
        <v>40</v>
      </c>
    </row>
    <row r="37" spans="1:3" x14ac:dyDescent="0.3">
      <c r="A37" t="s">
        <v>178</v>
      </c>
      <c r="B37">
        <v>3</v>
      </c>
      <c r="C37">
        <v>10</v>
      </c>
    </row>
    <row r="38" spans="1:3" x14ac:dyDescent="0.3">
      <c r="A38" t="s">
        <v>218</v>
      </c>
      <c r="B38">
        <v>2</v>
      </c>
      <c r="C38">
        <v>30</v>
      </c>
    </row>
    <row r="39" spans="1:3" x14ac:dyDescent="0.3">
      <c r="A39" t="s">
        <v>140</v>
      </c>
      <c r="B39">
        <v>2</v>
      </c>
      <c r="C39">
        <v>45</v>
      </c>
    </row>
    <row r="40" spans="1:3" x14ac:dyDescent="0.3">
      <c r="A40" t="s">
        <v>166</v>
      </c>
      <c r="B40">
        <v>2</v>
      </c>
      <c r="C40">
        <v>55</v>
      </c>
    </row>
    <row r="41" spans="1:3" x14ac:dyDescent="0.3">
      <c r="A41" t="s">
        <v>167</v>
      </c>
      <c r="B41">
        <v>4</v>
      </c>
      <c r="C41">
        <v>5</v>
      </c>
    </row>
    <row r="42" spans="1:3" x14ac:dyDescent="0.3">
      <c r="A42" t="s">
        <v>156</v>
      </c>
      <c r="B42">
        <v>2</v>
      </c>
      <c r="C42">
        <v>40</v>
      </c>
    </row>
    <row r="43" spans="1:3" x14ac:dyDescent="0.3">
      <c r="A43" t="s">
        <v>212</v>
      </c>
      <c r="B43">
        <v>2</v>
      </c>
      <c r="C43">
        <v>30</v>
      </c>
    </row>
    <row r="44" spans="1:3" x14ac:dyDescent="0.3">
      <c r="A44" t="s">
        <v>190</v>
      </c>
      <c r="B44">
        <v>3</v>
      </c>
      <c r="C44">
        <v>40</v>
      </c>
    </row>
    <row r="45" spans="1:3" x14ac:dyDescent="0.3">
      <c r="A45" t="s">
        <v>151</v>
      </c>
      <c r="B45">
        <v>3</v>
      </c>
      <c r="C45">
        <v>30</v>
      </c>
    </row>
    <row r="46" spans="1:3" x14ac:dyDescent="0.3">
      <c r="A46" t="s">
        <v>215</v>
      </c>
      <c r="B46">
        <v>2</v>
      </c>
      <c r="C46">
        <v>50</v>
      </c>
    </row>
    <row r="47" spans="1:3" x14ac:dyDescent="0.3">
      <c r="A47" t="s">
        <v>199</v>
      </c>
      <c r="B47">
        <v>3</v>
      </c>
      <c r="C47">
        <v>0</v>
      </c>
    </row>
    <row r="48" spans="1:3" x14ac:dyDescent="0.3">
      <c r="A48" t="s">
        <v>188</v>
      </c>
      <c r="B48">
        <v>3</v>
      </c>
      <c r="C48">
        <v>0</v>
      </c>
    </row>
    <row r="49" spans="1:7" x14ac:dyDescent="0.3">
      <c r="A49" t="s">
        <v>231</v>
      </c>
      <c r="B49">
        <v>2</v>
      </c>
      <c r="C49">
        <v>30</v>
      </c>
    </row>
    <row r="50" spans="1:7" x14ac:dyDescent="0.3">
      <c r="A50" t="s">
        <v>250</v>
      </c>
      <c r="B50">
        <v>1</v>
      </c>
      <c r="C50">
        <v>50</v>
      </c>
    </row>
    <row r="51" spans="1:7" x14ac:dyDescent="0.3">
      <c r="A51" t="s">
        <v>232</v>
      </c>
      <c r="B51">
        <v>2</v>
      </c>
      <c r="C51">
        <v>30</v>
      </c>
    </row>
    <row r="52" spans="1:7" x14ac:dyDescent="0.3">
      <c r="A52" t="s">
        <v>191</v>
      </c>
      <c r="B52">
        <v>2</v>
      </c>
      <c r="C52">
        <v>45</v>
      </c>
    </row>
    <row r="53" spans="1:7" x14ac:dyDescent="0.3">
      <c r="A53" t="s">
        <v>205</v>
      </c>
      <c r="B53">
        <v>2</v>
      </c>
      <c r="C53">
        <v>25</v>
      </c>
    </row>
    <row r="54" spans="1:7" x14ac:dyDescent="0.3">
      <c r="A54" t="s">
        <v>206</v>
      </c>
      <c r="B54">
        <v>2</v>
      </c>
      <c r="C54">
        <v>45</v>
      </c>
    </row>
    <row r="56" spans="1:7" x14ac:dyDescent="0.3">
      <c r="A56" s="18" t="s">
        <v>163</v>
      </c>
      <c r="B56">
        <f>SUM(B2:B54)</f>
        <v>132</v>
      </c>
      <c r="C56">
        <f>SUM(C2:C54)</f>
        <v>1505</v>
      </c>
      <c r="F56">
        <f>SUM(F2:F21)</f>
        <v>52</v>
      </c>
      <c r="G56">
        <f>SUM(G2:G21)</f>
        <v>448</v>
      </c>
    </row>
    <row r="57" spans="1:7" x14ac:dyDescent="0.3">
      <c r="A57" s="18" t="s">
        <v>152</v>
      </c>
      <c r="B57">
        <f>B56+C56/60</f>
        <v>157.08333333333334</v>
      </c>
      <c r="F57">
        <f>F56+G56/60</f>
        <v>59.466666666666669</v>
      </c>
    </row>
    <row r="58" spans="1:7" x14ac:dyDescent="0.3">
      <c r="A58" s="18" t="s">
        <v>147</v>
      </c>
      <c r="B58">
        <f>B57+F57</f>
        <v>216.55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Engagement Guests</vt:lpstr>
      <vt:lpstr>Outing Guests</vt:lpstr>
      <vt:lpstr>Outing Playlist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2025-04-14T12:56:32Z</dcterms:created>
  <dcterms:modified xsi:type="dcterms:W3CDTF">2025-11-10T16:05:33Z</dcterms:modified>
</cp:coreProperties>
</file>