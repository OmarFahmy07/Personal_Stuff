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 Stuff\Marriage\"/>
    </mc:Choice>
  </mc:AlternateContent>
  <xr:revisionPtr revIDLastSave="0" documentId="13_ncr:1_{058B8066-F876-41C7-8501-F2F4F7949EAA}" xr6:coauthVersionLast="47" xr6:coauthVersionMax="47" xr10:uidLastSave="{00000000-0000-0000-0000-000000000000}"/>
  <bookViews>
    <workbookView xWindow="-108" yWindow="-108" windowWidth="23256" windowHeight="13896" activeTab="1" xr2:uid="{27BCA28C-AA60-4D74-BB7A-58DEEAFCC907}"/>
  </bookViews>
  <sheets>
    <sheet name="Markets Comparison" sheetId="1" r:id="rId1"/>
    <sheet name="Monthly Expenses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B13" i="2"/>
  <c r="B35" i="2"/>
  <c r="B24" i="2"/>
  <c r="B19" i="2"/>
  <c r="B18" i="2"/>
  <c r="B17" i="2"/>
  <c r="B12" i="2"/>
  <c r="H13" i="1"/>
  <c r="B8" i="2"/>
  <c r="B16" i="2"/>
  <c r="B15" i="2"/>
  <c r="B14" i="2"/>
  <c r="B10" i="2"/>
  <c r="B9" i="2"/>
  <c r="B7" i="2"/>
  <c r="B6" i="2"/>
  <c r="B5" i="2"/>
  <c r="B4" i="2"/>
  <c r="B3" i="2"/>
  <c r="B2" i="2"/>
  <c r="B15" i="1"/>
  <c r="G15" i="1"/>
  <c r="K15" i="1"/>
  <c r="J15" i="1"/>
  <c r="H15" i="1"/>
  <c r="L15" i="1"/>
  <c r="I15" i="1"/>
  <c r="E15" i="1"/>
  <c r="F15" i="1"/>
  <c r="C15" i="1"/>
  <c r="D3" i="1" l="1"/>
  <c r="D15" i="1" s="1"/>
</calcChain>
</file>

<file path=xl/sharedStrings.xml><?xml version="1.0" encoding="utf-8"?>
<sst xmlns="http://schemas.openxmlformats.org/spreadsheetml/2006/main" count="120" uniqueCount="94">
  <si>
    <t>Talabat Mart</t>
  </si>
  <si>
    <t>Mahmoud Elfar</t>
  </si>
  <si>
    <t>Online</t>
  </si>
  <si>
    <t>Aman</t>
  </si>
  <si>
    <t>Oscar</t>
  </si>
  <si>
    <t>Spinneys</t>
  </si>
  <si>
    <t>Metro</t>
  </si>
  <si>
    <t>Panda</t>
  </si>
  <si>
    <t>Seoudi</t>
  </si>
  <si>
    <t>Banana Milk (Juhayna)</t>
  </si>
  <si>
    <t>Roumy Batare5 (250 gm)</t>
  </si>
  <si>
    <t>30 Eggs</t>
  </si>
  <si>
    <t>Lamar milk (1L)</t>
  </si>
  <si>
    <t>Plain Greek yogurt (Juhayna)</t>
  </si>
  <si>
    <t>Rice Doha (1 kg)</t>
  </si>
  <si>
    <t>Pasta Regina (400 gm)</t>
  </si>
  <si>
    <t>Pure Juice (235 ml)</t>
  </si>
  <si>
    <t>Cottage Cheese (250 gm)</t>
  </si>
  <si>
    <t>Toast Sugar-Free (500 gm)</t>
  </si>
  <si>
    <t>Zahran</t>
  </si>
  <si>
    <t>7 Mart</t>
  </si>
  <si>
    <t>Lulu</t>
  </si>
  <si>
    <t>Cheddar (250 gm)</t>
  </si>
  <si>
    <t>Approximate Total (Monthly)</t>
  </si>
  <si>
    <t>Yellow cells are unfound items. I took the average of other markets for simplification.</t>
  </si>
  <si>
    <t>Item</t>
  </si>
  <si>
    <t>Market</t>
  </si>
  <si>
    <t>Cost/Month</t>
  </si>
  <si>
    <t>Total</t>
  </si>
  <si>
    <t>Cheddar (30 gm / day)</t>
  </si>
  <si>
    <t>Roumy (70 gm / day)</t>
  </si>
  <si>
    <t>3eesh balady (1 regheef / day)</t>
  </si>
  <si>
    <t>Forn</t>
  </si>
  <si>
    <t>Eggs (2.25 / day)</t>
  </si>
  <si>
    <t>Lamar milk (250 ml / day)</t>
  </si>
  <si>
    <t>Plain Greek Yogurt (1 / day)</t>
  </si>
  <si>
    <t>Flavored Greek Yogurt (1 / 3 days)</t>
  </si>
  <si>
    <t>Banana Milk (1 / day)</t>
  </si>
  <si>
    <t>Pure Juice 235 gm (1.5 / day)</t>
  </si>
  <si>
    <t>Cottage Cheese (100 gm / day)</t>
  </si>
  <si>
    <t>Toast Sugar-Free (120 gm / day)</t>
  </si>
  <si>
    <t>Missing Items</t>
  </si>
  <si>
    <t>Mokasarat</t>
  </si>
  <si>
    <t>Honey</t>
  </si>
  <si>
    <t>Kayy Oats (100 gm / day)</t>
  </si>
  <si>
    <t>Deliveries</t>
  </si>
  <si>
    <t>Chicken Breast (1 kilo)</t>
  </si>
  <si>
    <t>Pasta Regina (162.5 gm / day)</t>
  </si>
  <si>
    <t>Chicken (650 gm / day)</t>
  </si>
  <si>
    <t>Omega 3</t>
  </si>
  <si>
    <t>Creatine</t>
  </si>
  <si>
    <t>Yaz</t>
  </si>
  <si>
    <t>Vegetables &amp; Fruits</t>
  </si>
  <si>
    <t>Electricity</t>
  </si>
  <si>
    <t>Gas</t>
  </si>
  <si>
    <t>Benzene</t>
  </si>
  <si>
    <t>Rental + Service</t>
  </si>
  <si>
    <t>Gym</t>
  </si>
  <si>
    <t>WiFi Internet</t>
  </si>
  <si>
    <t>Mobile Internet</t>
  </si>
  <si>
    <t>Brix</t>
  </si>
  <si>
    <t>Pledge</t>
  </si>
  <si>
    <t>Glance</t>
  </si>
  <si>
    <t>Saba7</t>
  </si>
  <si>
    <t>Ezaby</t>
  </si>
  <si>
    <t>Max Muscle</t>
  </si>
  <si>
    <t>Condom Durex Pleasure Me (18 days / month)</t>
  </si>
  <si>
    <t>Varies</t>
  </si>
  <si>
    <t>Rice Larinda (162.5 gm / day)</t>
  </si>
  <si>
    <t>Larinda</t>
  </si>
  <si>
    <t>Sofy Pads (16 pads / month)</t>
  </si>
  <si>
    <t>Dobella Extra Olive Oil</t>
  </si>
  <si>
    <t>Dishwasher Finish Tablets (Capsule / 5 days)</t>
  </si>
  <si>
    <t>Amazon</t>
  </si>
  <si>
    <t>Tidel - Gel Detergent Downy 3.6 kg (1 / 4 months)</t>
  </si>
  <si>
    <t>Manadeel (toilet, face, matba5)</t>
  </si>
  <si>
    <t>Bta3 el fra5</t>
  </si>
  <si>
    <t>Pril - Liquid Dish Washing - 4L (0.5 L / month)</t>
  </si>
  <si>
    <t>-</t>
  </si>
  <si>
    <t>Shampoo Head &amp; Shoulders (250 ml / 2 months)</t>
  </si>
  <si>
    <t>Butter Almarai Bars (3 bars / week)</t>
  </si>
  <si>
    <t>Nestle Water 20 x 600 ml box (5 / month)</t>
  </si>
  <si>
    <t>Nouran's uber from home to banafseg (6 / month)</t>
  </si>
  <si>
    <t>Laser</t>
  </si>
  <si>
    <t>Any room for saving?</t>
  </si>
  <si>
    <t>Replacing roumy with cottage saves you 375</t>
  </si>
  <si>
    <t>Replacing greek yogurt with normal Juhayna 180 gm yogurt saves you 700, by normal Juhayna 105 gm saves you 950</t>
  </si>
  <si>
    <t>Replacing kayy with Nino saves you 300</t>
  </si>
  <si>
    <t>Reducing your daily chicken intake to 150 gm instead of 200 gm saves you 650</t>
  </si>
  <si>
    <t>Buying Juhayna's 1-L bottles instead saves you 320</t>
  </si>
  <si>
    <t>Vitamin D</t>
  </si>
  <si>
    <t>Stopping it completely saves you 780</t>
  </si>
  <si>
    <t>Not recommended to stop AT ALL given that you're lifting</t>
  </si>
  <si>
    <t>Not recommended to stop AT ALL for maximum safety of no pregnancy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</si>
</sst>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DC45-F219-4DEF-B3CA-47E19C28CF78}">
  <dimension ref="A1:M21"/>
  <sheetViews>
    <sheetView workbookViewId="0">
      <selection activeCell="B10" sqref="B10"/>
    </sheetView>
  </sheetViews>
  <sheetFormatPr defaultRowHeight="14.4" x14ac:dyDescent="0.3"/>
  <cols>
    <col min="1" max="1" width="23.6640625" style="1" bestFit="1" customWidth="1"/>
    <col min="2" max="2" width="13.88671875" style="1" bestFit="1" customWidth="1"/>
    <col min="3" max="3" width="17" style="1" bestFit="1" customWidth="1"/>
    <col min="4" max="4" width="8.33203125" style="1" bestFit="1" customWidth="1"/>
    <col min="5" max="5" width="6" style="1" bestFit="1" customWidth="1"/>
    <col min="6" max="6" width="8" style="1" bestFit="1" customWidth="1"/>
    <col min="7" max="7" width="7.109375" style="1" bestFit="1" customWidth="1"/>
    <col min="8" max="8" width="7.21875" style="1" bestFit="1" customWidth="1"/>
    <col min="9" max="9" width="10.6640625" style="1" bestFit="1" customWidth="1"/>
    <col min="10" max="10" width="8.88671875" style="1"/>
    <col min="11" max="11" width="7.5546875" style="1" bestFit="1" customWidth="1"/>
    <col min="12" max="12" width="7.5546875" style="1" customWidth="1"/>
    <col min="13" max="13" width="7.109375" style="1" bestFit="1" customWidth="1"/>
    <col min="14" max="15" width="8.88671875" style="1"/>
    <col min="16" max="16" width="68.77734375" style="1" bestFit="1" customWidth="1"/>
    <col min="17" max="16384" width="8.88671875" style="1"/>
  </cols>
  <sheetData>
    <row r="1" spans="1:13" ht="18" x14ac:dyDescent="0.3">
      <c r="B1" s="2" t="s">
        <v>0</v>
      </c>
      <c r="C1" s="2" t="s">
        <v>1</v>
      </c>
      <c r="D1" s="2" t="s">
        <v>8</v>
      </c>
      <c r="E1" s="2" t="s">
        <v>21</v>
      </c>
      <c r="F1" s="2" t="s">
        <v>2</v>
      </c>
      <c r="G1" s="2" t="s">
        <v>7</v>
      </c>
      <c r="H1" s="2" t="s">
        <v>4</v>
      </c>
      <c r="I1" s="2" t="s">
        <v>5</v>
      </c>
      <c r="J1" s="2" t="s">
        <v>19</v>
      </c>
      <c r="K1" s="2" t="s">
        <v>20</v>
      </c>
      <c r="L1" s="2" t="s">
        <v>6</v>
      </c>
      <c r="M1" s="2" t="s">
        <v>3</v>
      </c>
    </row>
    <row r="2" spans="1:13" x14ac:dyDescent="0.3">
      <c r="A2" s="1" t="s">
        <v>10</v>
      </c>
      <c r="B2" s="1">
        <v>85</v>
      </c>
      <c r="C2" s="1">
        <v>77.75</v>
      </c>
      <c r="D2" s="1">
        <v>73.75</v>
      </c>
      <c r="E2" s="1">
        <v>73.75</v>
      </c>
      <c r="F2" s="1">
        <v>65</v>
      </c>
      <c r="G2" s="1">
        <v>71.239999999999995</v>
      </c>
      <c r="H2" s="1">
        <v>75</v>
      </c>
      <c r="I2" s="1">
        <v>73.75</v>
      </c>
      <c r="J2" s="5">
        <v>76.5</v>
      </c>
      <c r="K2" s="1">
        <v>82.5</v>
      </c>
      <c r="L2" s="1">
        <v>84</v>
      </c>
    </row>
    <row r="3" spans="1:13" x14ac:dyDescent="0.3">
      <c r="A3" s="1" t="s">
        <v>22</v>
      </c>
      <c r="B3" s="1">
        <v>130</v>
      </c>
      <c r="C3" s="1">
        <v>117.5</v>
      </c>
      <c r="D3" s="1">
        <f>49.38*2</f>
        <v>98.76</v>
      </c>
      <c r="E3" s="1">
        <v>110</v>
      </c>
      <c r="F3" s="1">
        <v>137.5</v>
      </c>
      <c r="G3" s="5">
        <v>116.4</v>
      </c>
      <c r="H3" s="1">
        <v>98.75</v>
      </c>
      <c r="I3" s="1">
        <v>112.5</v>
      </c>
      <c r="J3" s="5">
        <v>116.4</v>
      </c>
      <c r="K3" s="1">
        <v>120</v>
      </c>
      <c r="L3" s="1">
        <v>136.5</v>
      </c>
    </row>
    <row r="4" spans="1:13" x14ac:dyDescent="0.3">
      <c r="A4" s="1" t="s">
        <v>11</v>
      </c>
      <c r="B4" s="1">
        <v>160</v>
      </c>
      <c r="C4" s="1">
        <v>160</v>
      </c>
      <c r="D4" s="1">
        <v>143.44999999999999</v>
      </c>
      <c r="E4" s="1">
        <v>164</v>
      </c>
      <c r="F4" s="1">
        <v>200</v>
      </c>
      <c r="G4" s="1">
        <v>144.94999999999999</v>
      </c>
      <c r="H4" s="1">
        <v>146</v>
      </c>
      <c r="I4" s="1">
        <v>147</v>
      </c>
      <c r="J4" s="1">
        <v>165</v>
      </c>
      <c r="K4" s="1">
        <v>190</v>
      </c>
      <c r="L4" s="1">
        <v>152</v>
      </c>
    </row>
    <row r="5" spans="1:13" x14ac:dyDescent="0.3">
      <c r="A5" s="1" t="s">
        <v>12</v>
      </c>
      <c r="B5" s="1">
        <v>56</v>
      </c>
      <c r="C5" s="1">
        <v>49</v>
      </c>
      <c r="D5" s="1">
        <v>51.95</v>
      </c>
      <c r="E5" s="1">
        <v>53</v>
      </c>
      <c r="F5" s="1">
        <v>53</v>
      </c>
      <c r="G5" s="1">
        <v>53.95</v>
      </c>
      <c r="H5" s="1">
        <v>49</v>
      </c>
      <c r="I5" s="1">
        <v>54</v>
      </c>
      <c r="J5" s="1">
        <v>46</v>
      </c>
      <c r="K5" s="1">
        <v>50</v>
      </c>
      <c r="L5" s="1">
        <v>55</v>
      </c>
      <c r="M5" s="1">
        <v>50</v>
      </c>
    </row>
    <row r="6" spans="1:13" x14ac:dyDescent="0.3">
      <c r="A6" s="1" t="s">
        <v>13</v>
      </c>
      <c r="B6" s="1">
        <v>42</v>
      </c>
      <c r="C6" s="1">
        <v>41.5</v>
      </c>
      <c r="D6" s="1">
        <v>41.25</v>
      </c>
      <c r="E6" s="1">
        <v>42.25</v>
      </c>
      <c r="F6" s="1">
        <v>44.5</v>
      </c>
      <c r="G6" s="1">
        <v>39.950000000000003</v>
      </c>
      <c r="H6" s="1">
        <v>41.25</v>
      </c>
      <c r="I6" s="1">
        <v>40</v>
      </c>
      <c r="J6" s="1">
        <v>42.5</v>
      </c>
      <c r="K6" s="1">
        <v>43</v>
      </c>
      <c r="L6" s="1">
        <v>47</v>
      </c>
      <c r="M6" s="1">
        <v>42</v>
      </c>
    </row>
    <row r="7" spans="1:13" x14ac:dyDescent="0.3">
      <c r="A7" s="1" t="s">
        <v>9</v>
      </c>
      <c r="B7" s="1">
        <v>13</v>
      </c>
      <c r="C7" s="1">
        <v>11.75</v>
      </c>
      <c r="D7" s="1">
        <v>11.95</v>
      </c>
      <c r="E7" s="1">
        <v>11.95</v>
      </c>
      <c r="F7" s="1">
        <v>15</v>
      </c>
      <c r="G7" s="1">
        <v>11.95</v>
      </c>
      <c r="H7" s="1">
        <v>11.95</v>
      </c>
      <c r="I7" s="1">
        <v>11.95</v>
      </c>
      <c r="J7" s="1">
        <v>11.95</v>
      </c>
      <c r="K7" s="1">
        <v>12.95</v>
      </c>
      <c r="L7" s="1">
        <v>13</v>
      </c>
      <c r="M7" s="1">
        <v>15</v>
      </c>
    </row>
    <row r="8" spans="1:13" x14ac:dyDescent="0.3">
      <c r="A8" s="1" t="s">
        <v>14</v>
      </c>
      <c r="B8" s="1">
        <v>42</v>
      </c>
      <c r="C8" s="1">
        <v>40</v>
      </c>
      <c r="D8" s="1">
        <v>39.950000000000003</v>
      </c>
      <c r="E8" s="1">
        <v>39.5</v>
      </c>
      <c r="F8" s="1">
        <v>44</v>
      </c>
      <c r="G8" s="1">
        <v>38.950000000000003</v>
      </c>
      <c r="H8" s="1">
        <v>39.75</v>
      </c>
      <c r="I8" s="1">
        <v>40</v>
      </c>
      <c r="J8" s="1">
        <v>35</v>
      </c>
      <c r="K8" s="1">
        <v>40</v>
      </c>
      <c r="L8" s="1">
        <v>42.5</v>
      </c>
    </row>
    <row r="9" spans="1:13" x14ac:dyDescent="0.3">
      <c r="A9" s="1" t="s">
        <v>15</v>
      </c>
      <c r="B9" s="1">
        <v>30.95</v>
      </c>
      <c r="C9" s="1">
        <v>27.5</v>
      </c>
      <c r="D9" s="1">
        <v>28.75</v>
      </c>
      <c r="E9" s="1">
        <v>28.75</v>
      </c>
      <c r="F9" s="1">
        <v>25</v>
      </c>
      <c r="G9" s="1">
        <v>27.5</v>
      </c>
      <c r="H9" s="1">
        <v>28.95</v>
      </c>
      <c r="I9" s="1">
        <v>28.45</v>
      </c>
      <c r="J9" s="1">
        <v>26</v>
      </c>
      <c r="K9" s="1">
        <v>27.95</v>
      </c>
      <c r="L9" s="1">
        <v>29</v>
      </c>
    </row>
    <row r="10" spans="1:13" x14ac:dyDescent="0.3">
      <c r="A10" s="1" t="s">
        <v>16</v>
      </c>
      <c r="B10" s="1">
        <v>18.5</v>
      </c>
      <c r="C10" s="1">
        <v>16</v>
      </c>
      <c r="D10" s="1">
        <v>16.45</v>
      </c>
      <c r="E10" s="1">
        <v>16.5</v>
      </c>
      <c r="F10" s="1">
        <v>18</v>
      </c>
      <c r="G10" s="1">
        <v>16.5</v>
      </c>
      <c r="H10" s="1">
        <v>16.95</v>
      </c>
      <c r="I10" s="1">
        <v>15.75</v>
      </c>
      <c r="J10" s="1">
        <v>19.5</v>
      </c>
      <c r="K10" s="1">
        <v>16.45</v>
      </c>
      <c r="L10" s="1">
        <v>18.75</v>
      </c>
    </row>
    <row r="11" spans="1:13" x14ac:dyDescent="0.3">
      <c r="A11" s="1" t="s">
        <v>17</v>
      </c>
      <c r="B11" s="1">
        <v>32.5</v>
      </c>
      <c r="C11" s="1">
        <v>33.380000000000003</v>
      </c>
      <c r="D11" s="1">
        <v>28.75</v>
      </c>
      <c r="E11" s="1">
        <v>28.75</v>
      </c>
      <c r="F11" s="1">
        <v>30</v>
      </c>
      <c r="G11" s="1">
        <v>38.74</v>
      </c>
      <c r="H11" s="1">
        <v>32.5</v>
      </c>
      <c r="I11" s="1">
        <v>28.75</v>
      </c>
      <c r="J11" s="1">
        <v>25</v>
      </c>
      <c r="K11" s="5">
        <v>31.85</v>
      </c>
      <c r="L11" s="1">
        <v>40.69</v>
      </c>
      <c r="M11" s="1">
        <v>45</v>
      </c>
    </row>
    <row r="12" spans="1:13" x14ac:dyDescent="0.3">
      <c r="A12" s="1" t="s">
        <v>18</v>
      </c>
      <c r="B12" s="1">
        <v>55</v>
      </c>
      <c r="C12" s="1">
        <v>55</v>
      </c>
      <c r="D12" s="1">
        <v>55</v>
      </c>
      <c r="E12" s="1">
        <v>55.5</v>
      </c>
      <c r="F12" s="1">
        <v>55</v>
      </c>
      <c r="G12" s="1">
        <v>55</v>
      </c>
      <c r="H12" s="1">
        <v>55</v>
      </c>
      <c r="I12" s="1">
        <v>55</v>
      </c>
      <c r="J12" s="1">
        <v>55</v>
      </c>
      <c r="K12" s="1">
        <v>59.95</v>
      </c>
      <c r="L12" s="1">
        <v>55</v>
      </c>
    </row>
    <row r="13" spans="1:13" x14ac:dyDescent="0.3">
      <c r="A13" s="1" t="s">
        <v>46</v>
      </c>
      <c r="C13" s="1">
        <v>240</v>
      </c>
      <c r="D13" s="1">
        <v>300</v>
      </c>
      <c r="E13" s="1">
        <v>260</v>
      </c>
      <c r="F13" s="1">
        <v>310</v>
      </c>
      <c r="G13" s="1">
        <v>250</v>
      </c>
      <c r="H13" s="1">
        <f>116*2</f>
        <v>232</v>
      </c>
      <c r="I13" s="1">
        <v>240</v>
      </c>
      <c r="J13" s="1">
        <v>245</v>
      </c>
    </row>
    <row r="15" spans="1:13" x14ac:dyDescent="0.3">
      <c r="A15" s="1" t="s">
        <v>23</v>
      </c>
      <c r="B15" s="4">
        <f t="shared" ref="B15:L15" si="0">8.4*B2+3.6*B3+2*B4+7.5*B5+60*B6+30*B7+4.875*B8+12.1875*B9+60*B10+12*B11+7.2*B12</f>
        <v>7309.953125</v>
      </c>
      <c r="C15" s="4">
        <f t="shared" si="0"/>
        <v>6892.8162500000008</v>
      </c>
      <c r="D15" s="4">
        <f t="shared" si="0"/>
        <v>6758.2078750000001</v>
      </c>
      <c r="E15" s="4">
        <f t="shared" si="0"/>
        <v>6912.0531250000004</v>
      </c>
      <c r="F15" s="3">
        <f t="shared" si="0"/>
        <v>7313.6875</v>
      </c>
      <c r="G15" s="4">
        <f t="shared" si="0"/>
        <v>6843.3985000000002</v>
      </c>
      <c r="H15" s="4">
        <f t="shared" si="0"/>
        <v>6828.109375</v>
      </c>
      <c r="I15" s="4">
        <f t="shared" si="0"/>
        <v>6709.734375</v>
      </c>
      <c r="J15" s="4">
        <f t="shared" si="0"/>
        <v>6998.64</v>
      </c>
      <c r="K15" s="4">
        <f t="shared" si="0"/>
        <v>7184.9806250000001</v>
      </c>
      <c r="L15" s="3">
        <f t="shared" si="0"/>
        <v>7693.4049999999997</v>
      </c>
    </row>
    <row r="21" spans="3:3" x14ac:dyDescent="0.3">
      <c r="C21" s="1" t="s">
        <v>24</v>
      </c>
    </row>
  </sheetData>
  <conditionalFormatting sqref="B15:L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B025-09D9-480D-AB16-D8A8B254248D}">
  <dimension ref="A1:K39"/>
  <sheetViews>
    <sheetView tabSelected="1" zoomScale="91" workbookViewId="0">
      <selection activeCell="H19" sqref="H19"/>
    </sheetView>
  </sheetViews>
  <sheetFormatPr defaultRowHeight="14.4" x14ac:dyDescent="0.3"/>
  <cols>
    <col min="1" max="1" width="42.77734375" style="1" bestFit="1" customWidth="1"/>
    <col min="2" max="2" width="13.6640625" style="1" bestFit="1" customWidth="1"/>
    <col min="3" max="3" width="10.77734375" style="1" bestFit="1" customWidth="1"/>
    <col min="4" max="4" width="44.109375" style="1" customWidth="1"/>
    <col min="5" max="10" width="8.88671875" style="1"/>
    <col min="11" max="11" width="26.21875" style="1" bestFit="1" customWidth="1"/>
    <col min="12" max="16384" width="8.88671875" style="1"/>
  </cols>
  <sheetData>
    <row r="1" spans="1:11" ht="18" x14ac:dyDescent="0.3">
      <c r="A1" s="2" t="s">
        <v>25</v>
      </c>
      <c r="B1" s="2" t="s">
        <v>27</v>
      </c>
      <c r="C1" s="2" t="s">
        <v>26</v>
      </c>
      <c r="D1" s="2" t="s">
        <v>84</v>
      </c>
      <c r="K1" s="2" t="s">
        <v>41</v>
      </c>
    </row>
    <row r="2" spans="1:11" ht="15.6" x14ac:dyDescent="0.3">
      <c r="A2" s="1" t="s">
        <v>31</v>
      </c>
      <c r="B2" s="7">
        <f>2.5*30</f>
        <v>75</v>
      </c>
      <c r="C2" s="1" t="s">
        <v>32</v>
      </c>
      <c r="K2" s="1" t="s">
        <v>52</v>
      </c>
    </row>
    <row r="3" spans="1:11" x14ac:dyDescent="0.3">
      <c r="A3" s="1" t="s">
        <v>30</v>
      </c>
      <c r="B3" s="1">
        <f>8.4*73.75</f>
        <v>619.5</v>
      </c>
      <c r="C3" s="1" t="s">
        <v>5</v>
      </c>
      <c r="D3" s="9" t="s">
        <v>85</v>
      </c>
      <c r="K3" s="1" t="s">
        <v>42</v>
      </c>
    </row>
    <row r="4" spans="1:11" x14ac:dyDescent="0.3">
      <c r="A4" s="1" t="s">
        <v>29</v>
      </c>
      <c r="B4" s="1">
        <f>3.6*112.5</f>
        <v>405</v>
      </c>
      <c r="C4" s="1" t="s">
        <v>5</v>
      </c>
      <c r="D4" s="9"/>
      <c r="K4" s="1" t="s">
        <v>43</v>
      </c>
    </row>
    <row r="5" spans="1:11" x14ac:dyDescent="0.3">
      <c r="A5" s="1" t="s">
        <v>33</v>
      </c>
      <c r="B5" s="1">
        <f>2.25*147</f>
        <v>330.75</v>
      </c>
      <c r="C5" s="1" t="s">
        <v>5</v>
      </c>
      <c r="K5" s="1" t="s">
        <v>45</v>
      </c>
    </row>
    <row r="6" spans="1:11" x14ac:dyDescent="0.3">
      <c r="A6" s="1" t="s">
        <v>34</v>
      </c>
      <c r="B6" s="1">
        <f>7.5*54</f>
        <v>405</v>
      </c>
      <c r="C6" s="1" t="s">
        <v>5</v>
      </c>
      <c r="K6" s="1" t="s">
        <v>75</v>
      </c>
    </row>
    <row r="7" spans="1:11" ht="72" x14ac:dyDescent="0.3">
      <c r="A7" s="1" t="s">
        <v>35</v>
      </c>
      <c r="B7" s="1">
        <f>40*30</f>
        <v>1200</v>
      </c>
      <c r="C7" s="1" t="s">
        <v>5</v>
      </c>
      <c r="D7" s="9" t="s">
        <v>86</v>
      </c>
      <c r="K7" s="1" t="s">
        <v>60</v>
      </c>
    </row>
    <row r="8" spans="1:11" ht="28.8" x14ac:dyDescent="0.3">
      <c r="A8" s="1" t="s">
        <v>44</v>
      </c>
      <c r="B8" s="1">
        <f>10*70</f>
        <v>700</v>
      </c>
      <c r="C8" s="1" t="s">
        <v>4</v>
      </c>
      <c r="D8" s="9" t="s">
        <v>87</v>
      </c>
      <c r="K8" s="1" t="s">
        <v>61</v>
      </c>
    </row>
    <row r="9" spans="1:11" x14ac:dyDescent="0.3">
      <c r="A9" s="1" t="s">
        <v>36</v>
      </c>
      <c r="B9" s="1">
        <f>45*10</f>
        <v>450</v>
      </c>
      <c r="C9" s="1" t="s">
        <v>5</v>
      </c>
      <c r="K9" s="1" t="s">
        <v>62</v>
      </c>
    </row>
    <row r="10" spans="1:11" x14ac:dyDescent="0.3">
      <c r="A10" s="1" t="s">
        <v>37</v>
      </c>
      <c r="B10" s="1">
        <f>30*11.95</f>
        <v>358.5</v>
      </c>
      <c r="C10" s="1" t="s">
        <v>5</v>
      </c>
    </row>
    <row r="11" spans="1:11" x14ac:dyDescent="0.3">
      <c r="A11" s="1" t="s">
        <v>68</v>
      </c>
      <c r="B11" s="1">
        <v>376.5</v>
      </c>
      <c r="C11" s="1" t="s">
        <v>69</v>
      </c>
    </row>
    <row r="12" spans="1:11" x14ac:dyDescent="0.3">
      <c r="A12" s="1" t="s">
        <v>47</v>
      </c>
      <c r="B12" s="1">
        <f>6.09375*28.45</f>
        <v>173.3671875</v>
      </c>
      <c r="C12" s="1" t="s">
        <v>5</v>
      </c>
      <c r="G12" s="1" t="s">
        <v>28</v>
      </c>
      <c r="H12" s="6">
        <f>SUM(B:B)</f>
        <v>28433.567187500001</v>
      </c>
    </row>
    <row r="13" spans="1:11" ht="28.8" x14ac:dyDescent="0.3">
      <c r="A13" s="1" t="s">
        <v>48</v>
      </c>
      <c r="B13" s="8">
        <f>19.5*220 - 352</f>
        <v>3938</v>
      </c>
      <c r="C13" s="1" t="s">
        <v>76</v>
      </c>
      <c r="D13" s="9" t="s">
        <v>88</v>
      </c>
      <c r="H13" s="6"/>
    </row>
    <row r="14" spans="1:11" x14ac:dyDescent="0.3">
      <c r="A14" s="1" t="s">
        <v>38</v>
      </c>
      <c r="B14" s="1">
        <f>45*15.75</f>
        <v>708.75</v>
      </c>
      <c r="C14" s="1" t="s">
        <v>5</v>
      </c>
      <c r="D14" s="1" t="s">
        <v>89</v>
      </c>
    </row>
    <row r="15" spans="1:11" x14ac:dyDescent="0.3">
      <c r="A15" s="1" t="s">
        <v>39</v>
      </c>
      <c r="B15" s="1">
        <f>12*28.75</f>
        <v>345</v>
      </c>
      <c r="C15" s="1" t="s">
        <v>5</v>
      </c>
    </row>
    <row r="16" spans="1:11" x14ac:dyDescent="0.3">
      <c r="A16" s="1" t="s">
        <v>40</v>
      </c>
      <c r="B16" s="1">
        <f>7.2*55</f>
        <v>396</v>
      </c>
      <c r="C16" s="1" t="s">
        <v>5</v>
      </c>
    </row>
    <row r="17" spans="1:4" x14ac:dyDescent="0.3">
      <c r="A17" s="1" t="s">
        <v>49</v>
      </c>
      <c r="B17" s="1">
        <f>390*2</f>
        <v>780</v>
      </c>
      <c r="C17" s="1" t="s">
        <v>64</v>
      </c>
      <c r="D17" s="1" t="s">
        <v>91</v>
      </c>
    </row>
    <row r="18" spans="1:4" ht="28.8" x14ac:dyDescent="0.3">
      <c r="A18" s="1" t="s">
        <v>50</v>
      </c>
      <c r="B18" s="1">
        <f>(1600/600)*5*30</f>
        <v>399.99999999999994</v>
      </c>
      <c r="C18" s="1" t="s">
        <v>65</v>
      </c>
      <c r="D18" s="9" t="s">
        <v>92</v>
      </c>
    </row>
    <row r="19" spans="1:4" ht="28.8" x14ac:dyDescent="0.3">
      <c r="A19" s="1" t="s">
        <v>66</v>
      </c>
      <c r="B19" s="1">
        <f>375*1.5</f>
        <v>562.5</v>
      </c>
      <c r="C19" s="1" t="s">
        <v>67</v>
      </c>
      <c r="D19" s="9" t="s">
        <v>93</v>
      </c>
    </row>
    <row r="20" spans="1:4" x14ac:dyDescent="0.3">
      <c r="A20" s="1" t="s">
        <v>51</v>
      </c>
      <c r="B20" s="1">
        <v>265</v>
      </c>
      <c r="C20" s="1" t="s">
        <v>67</v>
      </c>
    </row>
    <row r="21" spans="1:4" x14ac:dyDescent="0.3">
      <c r="A21" s="1" t="s">
        <v>70</v>
      </c>
      <c r="B21" s="1">
        <v>50</v>
      </c>
      <c r="C21" s="1" t="s">
        <v>67</v>
      </c>
    </row>
    <row r="22" spans="1:4" x14ac:dyDescent="0.3">
      <c r="A22" s="1" t="s">
        <v>71</v>
      </c>
      <c r="B22" s="1">
        <v>242</v>
      </c>
      <c r="C22" s="1" t="s">
        <v>5</v>
      </c>
    </row>
    <row r="23" spans="1:4" x14ac:dyDescent="0.3">
      <c r="A23" s="1" t="s">
        <v>72</v>
      </c>
      <c r="B23" s="1">
        <v>58.7</v>
      </c>
      <c r="C23" s="1" t="s">
        <v>73</v>
      </c>
    </row>
    <row r="24" spans="1:4" x14ac:dyDescent="0.3">
      <c r="A24" s="1" t="s">
        <v>74</v>
      </c>
      <c r="B24" s="1">
        <f>280/4</f>
        <v>70</v>
      </c>
      <c r="C24" s="1" t="s">
        <v>5</v>
      </c>
    </row>
    <row r="25" spans="1:4" x14ac:dyDescent="0.3">
      <c r="A25" s="1" t="s">
        <v>77</v>
      </c>
      <c r="B25" s="1">
        <v>22.5</v>
      </c>
      <c r="C25" s="1" t="s">
        <v>5</v>
      </c>
    </row>
    <row r="26" spans="1:4" x14ac:dyDescent="0.3">
      <c r="A26" s="1" t="s">
        <v>79</v>
      </c>
      <c r="B26" s="1">
        <v>64.5</v>
      </c>
      <c r="C26" s="1" t="s">
        <v>5</v>
      </c>
    </row>
    <row r="27" spans="1:4" x14ac:dyDescent="0.3">
      <c r="A27" s="1" t="s">
        <v>53</v>
      </c>
      <c r="B27" s="1">
        <v>500</v>
      </c>
      <c r="C27" s="1" t="s">
        <v>78</v>
      </c>
    </row>
    <row r="28" spans="1:4" x14ac:dyDescent="0.3">
      <c r="A28" s="1" t="s">
        <v>54</v>
      </c>
      <c r="B28" s="1">
        <v>30</v>
      </c>
      <c r="C28" s="1" t="s">
        <v>78</v>
      </c>
    </row>
    <row r="29" spans="1:4" x14ac:dyDescent="0.3">
      <c r="A29" s="1" t="s">
        <v>55</v>
      </c>
      <c r="B29" s="1">
        <v>2100</v>
      </c>
      <c r="C29" s="1" t="s">
        <v>78</v>
      </c>
    </row>
    <row r="30" spans="1:4" x14ac:dyDescent="0.3">
      <c r="A30" s="1" t="s">
        <v>56</v>
      </c>
      <c r="B30" s="1">
        <v>7450</v>
      </c>
      <c r="C30" s="1" t="s">
        <v>78</v>
      </c>
    </row>
    <row r="31" spans="1:4" x14ac:dyDescent="0.3">
      <c r="A31" s="1" t="s">
        <v>57</v>
      </c>
      <c r="B31" s="1">
        <v>556</v>
      </c>
      <c r="C31" s="1" t="s">
        <v>78</v>
      </c>
    </row>
    <row r="32" spans="1:4" x14ac:dyDescent="0.3">
      <c r="A32" s="1" t="s">
        <v>58</v>
      </c>
      <c r="B32" s="1">
        <v>290</v>
      </c>
      <c r="C32" s="1" t="s">
        <v>78</v>
      </c>
    </row>
    <row r="33" spans="1:3" x14ac:dyDescent="0.3">
      <c r="A33" s="1" t="s">
        <v>59</v>
      </c>
      <c r="B33" s="1">
        <v>150</v>
      </c>
    </row>
    <row r="34" spans="1:3" x14ac:dyDescent="0.3">
      <c r="A34" s="1" t="s">
        <v>63</v>
      </c>
      <c r="B34" s="1">
        <v>500</v>
      </c>
    </row>
    <row r="35" spans="1:3" x14ac:dyDescent="0.3">
      <c r="A35" s="1" t="s">
        <v>80</v>
      </c>
      <c r="B35" s="1">
        <f>13*15</f>
        <v>195</v>
      </c>
    </row>
    <row r="36" spans="1:3" x14ac:dyDescent="0.3">
      <c r="A36" s="1" t="s">
        <v>81</v>
      </c>
      <c r="B36" s="1">
        <v>600</v>
      </c>
      <c r="C36" s="1" t="s">
        <v>67</v>
      </c>
    </row>
    <row r="37" spans="1:3" x14ac:dyDescent="0.3">
      <c r="A37" s="1" t="s">
        <v>82</v>
      </c>
      <c r="B37" s="1">
        <v>550</v>
      </c>
      <c r="C37" s="1" t="s">
        <v>78</v>
      </c>
    </row>
    <row r="38" spans="1:3" x14ac:dyDescent="0.3">
      <c r="A38" s="1" t="s">
        <v>83</v>
      </c>
      <c r="B38" s="1">
        <v>2500</v>
      </c>
    </row>
    <row r="39" spans="1:3" x14ac:dyDescent="0.3">
      <c r="A39" s="1" t="s">
        <v>90</v>
      </c>
      <c r="B39" s="1">
        <v>16</v>
      </c>
      <c r="C39" s="1" t="s">
        <v>67</v>
      </c>
    </row>
  </sheetData>
  <conditionalFormatting sqref="B2:B3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Markets Comparison</vt:lpstr>
      <vt:lpstr>Monthly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2026-01-29T21:59:07Z</dcterms:created>
  <dcterms:modified xsi:type="dcterms:W3CDTF">2026-01-30T22:36:39Z</dcterms:modified>
</cp:coreProperties>
</file>