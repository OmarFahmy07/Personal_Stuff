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ahmy\Downloads\"/>
    </mc:Choice>
  </mc:AlternateContent>
  <xr:revisionPtr revIDLastSave="0" documentId="13_ncr:1_{702B910E-32CF-47CE-AAB2-743F1214BBE1}" xr6:coauthVersionLast="47" xr6:coauthVersionMax="47" xr10:uidLastSave="{00000000-0000-0000-0000-000000000000}"/>
  <bookViews>
    <workbookView xWindow="-108" yWindow="-108" windowWidth="23256" windowHeight="12576" xr2:uid="{EA17D055-CC07-41D7-8176-79214A8F1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6" i="1"/>
  <c r="M23" i="1"/>
  <c r="M20" i="1"/>
  <c r="M17" i="1"/>
  <c r="M14" i="1"/>
  <c r="M11" i="1"/>
  <c r="M8" i="1"/>
  <c r="M27" i="1"/>
  <c r="M24" i="1"/>
  <c r="M21" i="1"/>
  <c r="M18" i="1"/>
  <c r="M15" i="1"/>
  <c r="M12" i="1"/>
  <c r="M9" i="1"/>
  <c r="M6" i="1"/>
  <c r="O5" i="1"/>
  <c r="M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4" i="1"/>
  <c r="L3" i="1"/>
  <c r="M28" i="1"/>
  <c r="M25" i="1"/>
  <c r="M19" i="1"/>
  <c r="M7" i="1"/>
  <c r="H7" i="1"/>
  <c r="H28" i="1"/>
  <c r="H27" i="1"/>
  <c r="H26" i="1"/>
  <c r="H25" i="1"/>
  <c r="H24" i="1"/>
  <c r="H23" i="1"/>
  <c r="H22" i="1"/>
  <c r="H21" i="1"/>
  <c r="H20" i="1"/>
  <c r="H19" i="1"/>
  <c r="H18" i="1"/>
  <c r="H15" i="1"/>
  <c r="H12" i="1"/>
  <c r="H9" i="1"/>
  <c r="H6" i="1"/>
  <c r="D28" i="1"/>
  <c r="D23" i="1"/>
  <c r="D24" i="1" s="1"/>
  <c r="D25" i="1" s="1"/>
  <c r="D26" i="1" s="1"/>
  <c r="D27" i="1" s="1"/>
  <c r="D22" i="1"/>
  <c r="D16" i="1"/>
  <c r="D17" i="1" s="1"/>
  <c r="D18" i="1" s="1"/>
  <c r="D19" i="1" s="1"/>
  <c r="D20" i="1" s="1"/>
  <c r="D21" i="1" s="1"/>
  <c r="D10" i="1"/>
  <c r="D11" i="1" s="1"/>
  <c r="D12" i="1" s="1"/>
  <c r="D13" i="1" s="1"/>
  <c r="D14" i="1" s="1"/>
  <c r="D15" i="1" s="1"/>
  <c r="D4" i="1"/>
  <c r="D5" i="1" s="1"/>
  <c r="D6" i="1" s="1"/>
  <c r="D7" i="1" s="1"/>
  <c r="D8" i="1" s="1"/>
  <c r="D9" i="1" s="1"/>
  <c r="D2" i="1"/>
  <c r="D3" i="1" s="1"/>
  <c r="B2" i="1"/>
  <c r="G3" i="1" s="1"/>
  <c r="J3" i="1" s="1"/>
  <c r="O3" i="1" l="1"/>
  <c r="O4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B3" i="1"/>
  <c r="G4" i="1" s="1"/>
  <c r="J4" i="1" s="1"/>
  <c r="B4" i="1" l="1"/>
  <c r="B5" i="1" l="1"/>
  <c r="G5" i="1"/>
  <c r="J5" i="1" s="1"/>
  <c r="B6" i="1" l="1"/>
  <c r="G6" i="1"/>
  <c r="J6" i="1" s="1"/>
  <c r="B7" i="1" l="1"/>
  <c r="G7" i="1"/>
  <c r="J7" i="1" s="1"/>
  <c r="B8" i="1" l="1"/>
  <c r="G8" i="1"/>
  <c r="J8" i="1" s="1"/>
  <c r="B9" i="1" l="1"/>
  <c r="G9" i="1"/>
  <c r="J9" i="1" s="1"/>
  <c r="G10" i="1" l="1"/>
  <c r="J10" i="1" s="1"/>
  <c r="B10" i="1"/>
  <c r="B11" i="1" l="1"/>
  <c r="G11" i="1"/>
  <c r="J11" i="1" s="1"/>
  <c r="J12" i="1" l="1"/>
  <c r="B12" i="1"/>
  <c r="G12" i="1"/>
  <c r="J13" i="1" l="1"/>
  <c r="B13" i="1"/>
  <c r="G13" i="1"/>
  <c r="J14" i="1" l="1"/>
  <c r="B14" i="1"/>
  <c r="G14" i="1"/>
  <c r="J15" i="1" l="1"/>
  <c r="B15" i="1"/>
  <c r="G15" i="1"/>
  <c r="J16" i="1" l="1"/>
  <c r="B16" i="1"/>
  <c r="G16" i="1"/>
  <c r="J17" i="1" l="1"/>
  <c r="B17" i="1"/>
  <c r="G17" i="1"/>
  <c r="J18" i="1" l="1"/>
  <c r="B18" i="1"/>
  <c r="G18" i="1"/>
  <c r="B19" i="1" l="1"/>
  <c r="G19" i="1"/>
  <c r="J19" i="1" s="1"/>
  <c r="B20" i="1" l="1"/>
  <c r="G20" i="1"/>
  <c r="J20" i="1" s="1"/>
  <c r="B21" i="1" l="1"/>
  <c r="G21" i="1"/>
  <c r="J21" i="1" s="1"/>
  <c r="G22" i="1" l="1"/>
  <c r="J22" i="1" s="1"/>
  <c r="B22" i="1"/>
  <c r="B23" i="1" l="1"/>
  <c r="G23" i="1"/>
  <c r="J23" i="1" s="1"/>
  <c r="B24" i="1" l="1"/>
  <c r="G24" i="1"/>
  <c r="J24" i="1" s="1"/>
  <c r="B25" i="1" l="1"/>
  <c r="G25" i="1"/>
  <c r="J25" i="1" s="1"/>
  <c r="B26" i="1" l="1"/>
  <c r="G26" i="1"/>
  <c r="J26" i="1" s="1"/>
  <c r="B27" i="1" l="1"/>
  <c r="G27" i="1"/>
  <c r="J27" i="1" s="1"/>
  <c r="G28" i="1" l="1"/>
  <c r="J28" i="1" s="1"/>
  <c r="B28" i="1"/>
</calcChain>
</file>

<file path=xl/sharedStrings.xml><?xml version="1.0" encoding="utf-8"?>
<sst xmlns="http://schemas.openxmlformats.org/spreadsheetml/2006/main" count="72" uniqueCount="25">
  <si>
    <t>Date</t>
  </si>
  <si>
    <t>Gold</t>
  </si>
  <si>
    <t>Fidelity</t>
  </si>
  <si>
    <t>Notes</t>
  </si>
  <si>
    <t>Cash: HSBC, NBE, April's salary, and 10% stocks are deducted</t>
  </si>
  <si>
    <t>Assuming gross salary is $900, 20% to Fidelity, 29% taxes, $100 to stocks</t>
  </si>
  <si>
    <t>Assuming fidelity's profit is 18%. 10% from salary to stocks, and 20% to Fidelity</t>
  </si>
  <si>
    <t>Assuming new salary is gross $2200. Still assuming 20% to Fidelity, 29% taxes, 10% to stocks</t>
  </si>
  <si>
    <t>Assuming a raise of 10% in my $2200 gross salary to be $2420 (note: I didn't account for any bonuses or stocks)</t>
  </si>
  <si>
    <t>Cash ($)</t>
  </si>
  <si>
    <t>Cash (EGP)</t>
  </si>
  <si>
    <t>Liabilities</t>
  </si>
  <si>
    <t>Remaining (EGP)</t>
  </si>
  <si>
    <t>Shabka</t>
  </si>
  <si>
    <t>Khotoba</t>
  </si>
  <si>
    <t>Taj + 2egaar</t>
  </si>
  <si>
    <t>2egaar</t>
  </si>
  <si>
    <t>2egaar + farsh el sha2a</t>
  </si>
  <si>
    <t>Plan for the 115m^2 unit - Primary</t>
  </si>
  <si>
    <t>Plan for the 115m^2 unit - Resale</t>
  </si>
  <si>
    <t>Shabka + mo2addam</t>
  </si>
  <si>
    <t>Taj</t>
  </si>
  <si>
    <t xml:space="preserve"> 2egaar</t>
  </si>
  <si>
    <t>2egaar + Taj</t>
  </si>
  <si>
    <t>2egaar + seyana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</si>
</sst>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5D08-97D1-45E9-974E-008CFC9E2AF7}">
  <dimension ref="A1:O48"/>
  <sheetViews>
    <sheetView tabSelected="1" zoomScale="86" workbookViewId="0">
      <selection activeCell="N22" sqref="N22"/>
    </sheetView>
  </sheetViews>
  <sheetFormatPr defaultRowHeight="14.4" x14ac:dyDescent="0.3"/>
  <cols>
    <col min="4" max="4" width="7.33203125" bestFit="1" customWidth="1"/>
    <col min="5" max="5" width="89.6640625" bestFit="1" customWidth="1"/>
    <col min="7" max="7" width="10.21875" bestFit="1" customWidth="1"/>
    <col min="8" max="8" width="12.6640625" bestFit="1" customWidth="1"/>
    <col min="9" max="9" width="19.5546875" bestFit="1" customWidth="1"/>
    <col min="10" max="10" width="15" bestFit="1" customWidth="1"/>
    <col min="12" max="12" width="12" bestFit="1" customWidth="1"/>
    <col min="13" max="13" width="9.33203125" bestFit="1" customWidth="1"/>
    <col min="14" max="14" width="19.5546875" bestFit="1" customWidth="1"/>
    <col min="15" max="15" width="15" bestFit="1" customWidth="1"/>
  </cols>
  <sheetData>
    <row r="1" spans="1:15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G1" s="5" t="s">
        <v>18</v>
      </c>
      <c r="H1" s="5"/>
      <c r="I1" s="5"/>
      <c r="J1" s="5"/>
      <c r="L1" s="5" t="s">
        <v>19</v>
      </c>
      <c r="M1" s="5"/>
      <c r="N1" s="5"/>
      <c r="O1" s="5"/>
    </row>
    <row r="2" spans="1:15" ht="14.4" customHeight="1" x14ac:dyDescent="0.3">
      <c r="A2" s="2">
        <v>45778</v>
      </c>
      <c r="B2" s="3">
        <f>SUM(608, 13934, 1033 - 0.1 * 1033)</f>
        <v>15471.7</v>
      </c>
      <c r="C2" s="3">
        <v>2160</v>
      </c>
      <c r="D2" s="3">
        <f>SUM(0.2 * 1800, 0.2 * 1650, 0.2 * 1430, 0.2 * 1800, 0.2 * 1800)</f>
        <v>1696</v>
      </c>
      <c r="E2" s="4" t="s">
        <v>4</v>
      </c>
      <c r="G2" s="1" t="s">
        <v>10</v>
      </c>
      <c r="H2" s="1" t="s">
        <v>11</v>
      </c>
      <c r="I2" s="1" t="s">
        <v>3</v>
      </c>
      <c r="J2" s="1" t="s">
        <v>12</v>
      </c>
      <c r="L2" s="1" t="s">
        <v>10</v>
      </c>
      <c r="M2" s="1" t="s">
        <v>11</v>
      </c>
      <c r="N2" s="1" t="s">
        <v>3</v>
      </c>
      <c r="O2" s="1" t="s">
        <v>12</v>
      </c>
    </row>
    <row r="3" spans="1:15" x14ac:dyDescent="0.3">
      <c r="A3" s="2">
        <v>45809</v>
      </c>
      <c r="B3" s="3">
        <f>SUM(B2,511 - 100)</f>
        <v>15882.7</v>
      </c>
      <c r="C3" s="3">
        <v>2160</v>
      </c>
      <c r="D3" s="3">
        <f>SUM(D2,900 * 0.2)</f>
        <v>1876</v>
      </c>
      <c r="E3" s="3" t="s">
        <v>5</v>
      </c>
      <c r="G3">
        <f xml:space="preserve"> B2 *51</f>
        <v>789056.70000000007</v>
      </c>
      <c r="H3">
        <v>150000</v>
      </c>
      <c r="I3" t="s">
        <v>13</v>
      </c>
      <c r="J3">
        <f>G3-H3</f>
        <v>639056.70000000007</v>
      </c>
      <c r="L3">
        <f xml:space="preserve"> B2 *51</f>
        <v>789056.70000000007</v>
      </c>
      <c r="M3">
        <f xml:space="preserve"> 150000 + 500000</f>
        <v>650000</v>
      </c>
      <c r="N3" t="s">
        <v>20</v>
      </c>
      <c r="O3">
        <f>L3-M3</f>
        <v>139056.70000000007</v>
      </c>
    </row>
    <row r="4" spans="1:15" x14ac:dyDescent="0.3">
      <c r="A4" s="2">
        <v>45839</v>
      </c>
      <c r="B4" s="3">
        <f>SUM(B3,D3*1.18,1033-103)</f>
        <v>19026.38</v>
      </c>
      <c r="C4" s="3">
        <v>2160</v>
      </c>
      <c r="D4" s="3">
        <f xml:space="preserve"> 1800 * 0.2</f>
        <v>360</v>
      </c>
      <c r="E4" s="3" t="s">
        <v>6</v>
      </c>
      <c r="G4">
        <f xml:space="preserve"> B3 *51</f>
        <v>810017.70000000007</v>
      </c>
      <c r="H4">
        <v>70000</v>
      </c>
      <c r="I4" t="s">
        <v>14</v>
      </c>
      <c r="J4">
        <f>G4-(H3+H4)</f>
        <v>590017.70000000007</v>
      </c>
      <c r="L4">
        <f xml:space="preserve"> B3 *51</f>
        <v>810017.70000000007</v>
      </c>
      <c r="M4">
        <v>70000</v>
      </c>
      <c r="N4" t="s">
        <v>14</v>
      </c>
      <c r="O4">
        <f>L4-(M3+M4)</f>
        <v>90017.70000000007</v>
      </c>
    </row>
    <row r="5" spans="1:15" x14ac:dyDescent="0.3">
      <c r="A5" s="2">
        <v>45870</v>
      </c>
      <c r="B5" s="3">
        <f>SUM(B4,1250 - 1250 * 0.1)</f>
        <v>20151.38</v>
      </c>
      <c r="C5" s="3">
        <v>2160</v>
      </c>
      <c r="D5" s="3">
        <f>SUM(D4,2200 * 0.2)</f>
        <v>800</v>
      </c>
      <c r="E5" s="3" t="s">
        <v>7</v>
      </c>
      <c r="G5">
        <f t="shared" ref="G5:G29" si="0" xml:space="preserve"> B4 *51</f>
        <v>970345.38</v>
      </c>
      <c r="J5">
        <f>J4+(G5-G4)</f>
        <v>750345.38</v>
      </c>
      <c r="L5">
        <f t="shared" ref="L5:L28" si="1" xml:space="preserve"> B4 *51</f>
        <v>970345.38</v>
      </c>
      <c r="M5">
        <v>147000</v>
      </c>
      <c r="N5" t="s">
        <v>21</v>
      </c>
      <c r="O5">
        <f>O4+(L5-L4)-M5</f>
        <v>103345.38</v>
      </c>
    </row>
    <row r="6" spans="1:15" x14ac:dyDescent="0.3">
      <c r="A6" s="2">
        <v>45901</v>
      </c>
      <c r="B6" s="3">
        <f>SUM(B5,1250 - 1250 * 0.1)</f>
        <v>21276.38</v>
      </c>
      <c r="C6" s="3">
        <v>2160</v>
      </c>
      <c r="D6" s="3">
        <f>SUM(D5,2200 * 0.2)</f>
        <v>1240</v>
      </c>
      <c r="E6" s="3"/>
      <c r="G6">
        <f t="shared" si="0"/>
        <v>1027720.38</v>
      </c>
      <c r="H6">
        <f xml:space="preserve"> 87500 + 15000</f>
        <v>102500</v>
      </c>
      <c r="I6" t="s">
        <v>15</v>
      </c>
      <c r="J6">
        <f>J5+G6-G5-H6</f>
        <v>705220.38</v>
      </c>
      <c r="L6">
        <f t="shared" si="1"/>
        <v>1027720.38</v>
      </c>
      <c r="M6">
        <f xml:space="preserve"> 15000</f>
        <v>15000</v>
      </c>
      <c r="N6" t="s">
        <v>22</v>
      </c>
      <c r="O6">
        <f>O5+L6-L5-M6</f>
        <v>145720.38</v>
      </c>
    </row>
    <row r="7" spans="1:15" x14ac:dyDescent="0.3">
      <c r="A7" s="2">
        <v>45931</v>
      </c>
      <c r="B7" s="3">
        <f t="shared" ref="B7:B9" si="2">SUM(B6,1250 - 1250 * 0.1)</f>
        <v>22401.38</v>
      </c>
      <c r="C7" s="3">
        <v>2160</v>
      </c>
      <c r="D7" s="3">
        <f>SUM(D6,2200 * 0.2)</f>
        <v>1680</v>
      </c>
      <c r="E7" s="3"/>
      <c r="G7">
        <f t="shared" si="0"/>
        <v>1085095.3800000001</v>
      </c>
      <c r="H7">
        <f xml:space="preserve"> 15000 + 450000</f>
        <v>465000</v>
      </c>
      <c r="I7" t="s">
        <v>17</v>
      </c>
      <c r="J7">
        <f>J6+G7-G6-H7</f>
        <v>297595.38000000024</v>
      </c>
      <c r="L7">
        <f t="shared" si="1"/>
        <v>1085095.3800000001</v>
      </c>
      <c r="M7">
        <f xml:space="preserve"> 15000 + 450000</f>
        <v>465000</v>
      </c>
      <c r="N7" t="s">
        <v>17</v>
      </c>
      <c r="O7">
        <f>O6+L7-L6-M7</f>
        <v>-261904.61999999976</v>
      </c>
    </row>
    <row r="8" spans="1:15" x14ac:dyDescent="0.3">
      <c r="A8" s="2">
        <v>45962</v>
      </c>
      <c r="B8" s="3">
        <f t="shared" si="2"/>
        <v>23526.38</v>
      </c>
      <c r="C8" s="3">
        <v>2160</v>
      </c>
      <c r="D8" s="3">
        <f>SUM(D7,2200 * 0.2)</f>
        <v>2120</v>
      </c>
      <c r="E8" s="3"/>
      <c r="G8">
        <f t="shared" si="0"/>
        <v>1142470.3800000001</v>
      </c>
      <c r="H8">
        <v>15000</v>
      </c>
      <c r="I8" t="s">
        <v>16</v>
      </c>
      <c r="J8">
        <f>J7+G8-G7-H8</f>
        <v>339970.38000000012</v>
      </c>
      <c r="L8">
        <f t="shared" si="1"/>
        <v>1142470.3800000001</v>
      </c>
      <c r="M8">
        <f xml:space="preserve"> 15000 + 147000</f>
        <v>162000</v>
      </c>
      <c r="N8" t="s">
        <v>23</v>
      </c>
      <c r="O8">
        <f>O7+L8-L7-M8</f>
        <v>-366529.61999999976</v>
      </c>
    </row>
    <row r="9" spans="1:15" x14ac:dyDescent="0.3">
      <c r="A9" s="2">
        <v>45992</v>
      </c>
      <c r="B9" s="3">
        <f t="shared" si="2"/>
        <v>24651.38</v>
      </c>
      <c r="C9" s="3">
        <v>2160</v>
      </c>
      <c r="D9" s="3">
        <f>SUM(D8,2200 * 0.2)</f>
        <v>2560</v>
      </c>
      <c r="E9" s="3"/>
      <c r="G9">
        <f t="shared" si="0"/>
        <v>1199845.3800000001</v>
      </c>
      <c r="H9">
        <f xml:space="preserve"> 87500 + 15000</f>
        <v>102500</v>
      </c>
      <c r="I9" t="s">
        <v>15</v>
      </c>
      <c r="J9">
        <f>J8+G9-G8-H9</f>
        <v>294845.38000000012</v>
      </c>
      <c r="L9">
        <f t="shared" si="1"/>
        <v>1199845.3800000001</v>
      </c>
      <c r="M9">
        <f xml:space="preserve"> 15000</f>
        <v>15000</v>
      </c>
      <c r="N9" t="s">
        <v>16</v>
      </c>
      <c r="O9">
        <f>O8+L9-L8-M9</f>
        <v>-324154.61999999976</v>
      </c>
    </row>
    <row r="10" spans="1:15" x14ac:dyDescent="0.3">
      <c r="A10" s="2">
        <v>46023</v>
      </c>
      <c r="B10" s="3">
        <f>SUM(B9,D9*1.18,1250 - 1250 * 0.1)</f>
        <v>28797.18</v>
      </c>
      <c r="C10" s="3">
        <v>2160</v>
      </c>
      <c r="D10" s="3">
        <f xml:space="preserve"> 2200 * 0.2</f>
        <v>440</v>
      </c>
      <c r="E10" s="3" t="s">
        <v>6</v>
      </c>
      <c r="G10">
        <f t="shared" si="0"/>
        <v>1257220.3800000001</v>
      </c>
      <c r="H10">
        <v>15000</v>
      </c>
      <c r="I10" t="s">
        <v>16</v>
      </c>
      <c r="J10">
        <f t="shared" ref="J10:J29" si="3">J9+G10-G9-H10</f>
        <v>337220.38000000012</v>
      </c>
      <c r="L10">
        <f t="shared" si="1"/>
        <v>1257220.3800000001</v>
      </c>
      <c r="M10">
        <v>15000</v>
      </c>
      <c r="N10" t="s">
        <v>16</v>
      </c>
      <c r="O10">
        <f t="shared" ref="O10:O28" si="4">O9+L10-L9-M10</f>
        <v>-281779.61999999976</v>
      </c>
    </row>
    <row r="11" spans="1:15" x14ac:dyDescent="0.3">
      <c r="A11" s="2">
        <v>46054</v>
      </c>
      <c r="B11" s="3">
        <f>SUM(B10, 1250 - 1250 * 0.1)</f>
        <v>29922.18</v>
      </c>
      <c r="C11" s="3">
        <v>2160</v>
      </c>
      <c r="D11" s="3">
        <f>SUM(D10,2200 * 0.2)</f>
        <v>880</v>
      </c>
      <c r="E11" s="3"/>
      <c r="G11">
        <f t="shared" si="0"/>
        <v>1468656.18</v>
      </c>
      <c r="H11">
        <v>15000</v>
      </c>
      <c r="I11" t="s">
        <v>16</v>
      </c>
      <c r="J11">
        <f t="shared" si="3"/>
        <v>533656.17999999993</v>
      </c>
      <c r="L11">
        <f t="shared" si="1"/>
        <v>1468656.18</v>
      </c>
      <c r="M11">
        <f xml:space="preserve"> 15000  + 147000</f>
        <v>162000</v>
      </c>
      <c r="N11" t="s">
        <v>23</v>
      </c>
      <c r="O11">
        <f t="shared" si="4"/>
        <v>-232343.82000000007</v>
      </c>
    </row>
    <row r="12" spans="1:15" x14ac:dyDescent="0.3">
      <c r="A12" s="2">
        <v>46082</v>
      </c>
      <c r="B12" s="3">
        <f>SUM(B11, 1250 - 1250 * 0.1)</f>
        <v>31047.18</v>
      </c>
      <c r="C12" s="3">
        <v>2160</v>
      </c>
      <c r="D12" s="3">
        <f>SUM(D11,2200 * 0.2)</f>
        <v>1320</v>
      </c>
      <c r="E12" s="3"/>
      <c r="G12">
        <f t="shared" si="0"/>
        <v>1526031.18</v>
      </c>
      <c r="H12">
        <f xml:space="preserve"> 87500 + 15000</f>
        <v>102500</v>
      </c>
      <c r="I12" t="s">
        <v>15</v>
      </c>
      <c r="J12">
        <f t="shared" si="3"/>
        <v>488531.17999999993</v>
      </c>
      <c r="L12">
        <f t="shared" si="1"/>
        <v>1526031.18</v>
      </c>
      <c r="M12">
        <f xml:space="preserve"> 15000</f>
        <v>15000</v>
      </c>
      <c r="N12" t="s">
        <v>16</v>
      </c>
      <c r="O12">
        <f t="shared" si="4"/>
        <v>-189968.82000000007</v>
      </c>
    </row>
    <row r="13" spans="1:15" x14ac:dyDescent="0.3">
      <c r="A13" s="2">
        <v>46113</v>
      </c>
      <c r="B13" s="3">
        <f t="shared" ref="B13:B15" si="5">SUM(B12, 1250 - 1250 * 0.1)</f>
        <v>32172.18</v>
      </c>
      <c r="C13" s="3">
        <v>2160</v>
      </c>
      <c r="D13" s="3">
        <f>SUM(D12,2200 * 0.2)</f>
        <v>1760</v>
      </c>
      <c r="E13" s="3"/>
      <c r="G13">
        <f t="shared" si="0"/>
        <v>1583406.18</v>
      </c>
      <c r="H13">
        <v>15000</v>
      </c>
      <c r="I13" t="s">
        <v>16</v>
      </c>
      <c r="J13">
        <f t="shared" si="3"/>
        <v>530906.17999999993</v>
      </c>
      <c r="L13">
        <f t="shared" si="1"/>
        <v>1583406.18</v>
      </c>
      <c r="M13">
        <v>15000</v>
      </c>
      <c r="N13" t="s">
        <v>16</v>
      </c>
      <c r="O13">
        <f t="shared" si="4"/>
        <v>-147593.82000000007</v>
      </c>
    </row>
    <row r="14" spans="1:15" x14ac:dyDescent="0.3">
      <c r="A14" s="2">
        <v>46143</v>
      </c>
      <c r="B14" s="3">
        <f t="shared" si="5"/>
        <v>33297.18</v>
      </c>
      <c r="C14" s="3">
        <v>2160</v>
      </c>
      <c r="D14" s="3">
        <f>SUM(D13,2200 * 0.2)</f>
        <v>2200</v>
      </c>
      <c r="E14" s="3"/>
      <c r="G14">
        <f t="shared" si="0"/>
        <v>1640781.18</v>
      </c>
      <c r="H14">
        <v>15000</v>
      </c>
      <c r="I14" t="s">
        <v>16</v>
      </c>
      <c r="J14">
        <f t="shared" si="3"/>
        <v>573281.17999999993</v>
      </c>
      <c r="L14">
        <f t="shared" si="1"/>
        <v>1640781.18</v>
      </c>
      <c r="M14">
        <f xml:space="preserve"> 15000 + 147000</f>
        <v>162000</v>
      </c>
      <c r="N14" t="s">
        <v>23</v>
      </c>
      <c r="O14">
        <f t="shared" si="4"/>
        <v>-252218.82000000007</v>
      </c>
    </row>
    <row r="15" spans="1:15" x14ac:dyDescent="0.3">
      <c r="A15" s="2">
        <v>46174</v>
      </c>
      <c r="B15" s="3">
        <f t="shared" si="5"/>
        <v>34422.18</v>
      </c>
      <c r="C15" s="3">
        <v>2160</v>
      </c>
      <c r="D15" s="3">
        <f>SUM(D14,2200 * 0.2)</f>
        <v>2640</v>
      </c>
      <c r="E15" s="3"/>
      <c r="G15">
        <f t="shared" si="0"/>
        <v>1698156.18</v>
      </c>
      <c r="H15">
        <f xml:space="preserve"> 87500 + 15000</f>
        <v>102500</v>
      </c>
      <c r="I15" t="s">
        <v>15</v>
      </c>
      <c r="J15">
        <f t="shared" si="3"/>
        <v>528156.17999999993</v>
      </c>
      <c r="L15">
        <f t="shared" si="1"/>
        <v>1698156.18</v>
      </c>
      <c r="M15">
        <f xml:space="preserve"> 15000</f>
        <v>15000</v>
      </c>
      <c r="N15" t="s">
        <v>16</v>
      </c>
      <c r="O15">
        <f t="shared" si="4"/>
        <v>-209843.82000000007</v>
      </c>
    </row>
    <row r="16" spans="1:15" x14ac:dyDescent="0.3">
      <c r="A16" s="2">
        <v>46204</v>
      </c>
      <c r="B16" s="3">
        <f>SUM(B15,D15*1.18,1250 - 1250 * 0.1)</f>
        <v>38662.379999999997</v>
      </c>
      <c r="C16" s="3">
        <v>2160</v>
      </c>
      <c r="D16" s="3">
        <f xml:space="preserve"> 2200 * 0.2</f>
        <v>440</v>
      </c>
      <c r="G16">
        <f t="shared" si="0"/>
        <v>1755531.18</v>
      </c>
      <c r="H16">
        <v>15000</v>
      </c>
      <c r="I16" t="s">
        <v>16</v>
      </c>
      <c r="J16">
        <f t="shared" si="3"/>
        <v>570531.17999999993</v>
      </c>
      <c r="L16">
        <f t="shared" si="1"/>
        <v>1755531.18</v>
      </c>
      <c r="M16">
        <v>15000</v>
      </c>
      <c r="N16" t="s">
        <v>16</v>
      </c>
      <c r="O16">
        <f t="shared" si="4"/>
        <v>-167468.82000000007</v>
      </c>
    </row>
    <row r="17" spans="1:15" x14ac:dyDescent="0.3">
      <c r="A17" s="2">
        <v>46235</v>
      </c>
      <c r="B17" s="3">
        <f>SUM(B16, 1375 - 1375 * 0.1)</f>
        <v>39899.879999999997</v>
      </c>
      <c r="C17" s="3">
        <v>2160</v>
      </c>
      <c r="D17" s="3">
        <f>SUM(D16, 2420 * 0.2)</f>
        <v>924</v>
      </c>
      <c r="E17" s="3" t="s">
        <v>8</v>
      </c>
      <c r="G17">
        <f t="shared" si="0"/>
        <v>1971781.38</v>
      </c>
      <c r="H17">
        <v>15000</v>
      </c>
      <c r="I17" t="s">
        <v>16</v>
      </c>
      <c r="J17">
        <f t="shared" si="3"/>
        <v>771781.37999999966</v>
      </c>
      <c r="L17">
        <f t="shared" si="1"/>
        <v>1971781.38</v>
      </c>
      <c r="M17">
        <f xml:space="preserve"> 15000 + 147000</f>
        <v>162000</v>
      </c>
      <c r="N17" t="s">
        <v>23</v>
      </c>
      <c r="O17">
        <f t="shared" si="4"/>
        <v>-113218.62000000011</v>
      </c>
    </row>
    <row r="18" spans="1:15" x14ac:dyDescent="0.3">
      <c r="A18" s="2">
        <v>46266</v>
      </c>
      <c r="B18" s="3">
        <f t="shared" ref="B18:B21" si="6">SUM(B17, 1375 - 1375 * 0.1)</f>
        <v>41137.379999999997</v>
      </c>
      <c r="C18" s="3">
        <v>2160</v>
      </c>
      <c r="D18" s="3">
        <f>SUM(D17, 2420 * 0.2)</f>
        <v>1408</v>
      </c>
      <c r="E18" s="3"/>
      <c r="G18">
        <f t="shared" si="0"/>
        <v>2034893.88</v>
      </c>
      <c r="H18">
        <f xml:space="preserve"> 87500 + 15000</f>
        <v>102500</v>
      </c>
      <c r="I18" t="s">
        <v>15</v>
      </c>
      <c r="J18">
        <f t="shared" si="3"/>
        <v>732393.87999999989</v>
      </c>
      <c r="L18">
        <f t="shared" si="1"/>
        <v>2034893.88</v>
      </c>
      <c r="M18">
        <f xml:space="preserve"> 15000</f>
        <v>15000</v>
      </c>
      <c r="N18" t="s">
        <v>16</v>
      </c>
      <c r="O18">
        <f t="shared" si="4"/>
        <v>-65106.120000000112</v>
      </c>
    </row>
    <row r="19" spans="1:15" x14ac:dyDescent="0.3">
      <c r="A19" s="2">
        <v>46296</v>
      </c>
      <c r="B19" s="3">
        <f t="shared" si="6"/>
        <v>42374.879999999997</v>
      </c>
      <c r="C19" s="3">
        <v>2160</v>
      </c>
      <c r="D19" s="3">
        <f>SUM(D18, 2420 * 0.2)</f>
        <v>1892</v>
      </c>
      <c r="E19" s="3"/>
      <c r="G19">
        <f t="shared" si="0"/>
        <v>2098006.38</v>
      </c>
      <c r="H19">
        <f xml:space="preserve"> 15000 * 1.1</f>
        <v>16500</v>
      </c>
      <c r="I19" t="s">
        <v>16</v>
      </c>
      <c r="J19">
        <f t="shared" si="3"/>
        <v>779006.37999999989</v>
      </c>
      <c r="L19">
        <f t="shared" si="1"/>
        <v>2098006.38</v>
      </c>
      <c r="M19">
        <f xml:space="preserve"> 15000 * 1.1</f>
        <v>16500</v>
      </c>
      <c r="N19" t="s">
        <v>16</v>
      </c>
      <c r="O19">
        <f t="shared" si="4"/>
        <v>-18493.620000000112</v>
      </c>
    </row>
    <row r="20" spans="1:15" x14ac:dyDescent="0.3">
      <c r="A20" s="2">
        <v>46327</v>
      </c>
      <c r="B20" s="3">
        <f t="shared" si="6"/>
        <v>43612.38</v>
      </c>
      <c r="C20" s="3">
        <v>2160</v>
      </c>
      <c r="D20" s="3">
        <f>SUM(D19, 2420 * 0.2)</f>
        <v>2376</v>
      </c>
      <c r="E20" s="3"/>
      <c r="G20">
        <f t="shared" si="0"/>
        <v>2161118.88</v>
      </c>
      <c r="H20">
        <f xml:space="preserve"> 15000 * 1.1</f>
        <v>16500</v>
      </c>
      <c r="I20" t="s">
        <v>16</v>
      </c>
      <c r="J20">
        <f t="shared" si="3"/>
        <v>825618.87999999989</v>
      </c>
      <c r="L20">
        <f t="shared" si="1"/>
        <v>2161118.88</v>
      </c>
      <c r="M20">
        <f xml:space="preserve"> 15000 * 1.1 + 147000</f>
        <v>163500</v>
      </c>
      <c r="N20" t="s">
        <v>23</v>
      </c>
      <c r="O20">
        <f t="shared" si="4"/>
        <v>-118881.12000000011</v>
      </c>
    </row>
    <row r="21" spans="1:15" x14ac:dyDescent="0.3">
      <c r="A21" s="2">
        <v>46357</v>
      </c>
      <c r="B21" s="3">
        <f t="shared" si="6"/>
        <v>44849.88</v>
      </c>
      <c r="C21" s="3">
        <v>2160</v>
      </c>
      <c r="D21" s="3">
        <f>SUM(D20, 2420 * 0.2)</f>
        <v>2860</v>
      </c>
      <c r="E21" s="3"/>
      <c r="G21">
        <f t="shared" si="0"/>
        <v>2224231.38</v>
      </c>
      <c r="H21">
        <f xml:space="preserve"> 15000 * 1.1 + 87500</f>
        <v>104000</v>
      </c>
      <c r="I21" t="s">
        <v>15</v>
      </c>
      <c r="J21">
        <f t="shared" si="3"/>
        <v>784731.37999999989</v>
      </c>
      <c r="L21">
        <f t="shared" si="1"/>
        <v>2224231.38</v>
      </c>
      <c r="M21">
        <f xml:space="preserve"> 15000 * 1.1</f>
        <v>16500</v>
      </c>
      <c r="N21" t="s">
        <v>16</v>
      </c>
      <c r="O21">
        <f t="shared" si="4"/>
        <v>-72268.620000000112</v>
      </c>
    </row>
    <row r="22" spans="1:15" x14ac:dyDescent="0.3">
      <c r="A22" s="2">
        <v>46388</v>
      </c>
      <c r="B22" s="3">
        <f>SUM(B21, D21 * 1.18, 1375 - 1375 * 0.1)</f>
        <v>49462.18</v>
      </c>
      <c r="C22" s="3">
        <v>2160</v>
      </c>
      <c r="D22" s="3">
        <f xml:space="preserve"> 2420 * 0.2</f>
        <v>484</v>
      </c>
      <c r="E22" s="3"/>
      <c r="G22">
        <f t="shared" si="0"/>
        <v>2287343.88</v>
      </c>
      <c r="H22">
        <f xml:space="preserve"> 15000 * 1.1</f>
        <v>16500</v>
      </c>
      <c r="I22" t="s">
        <v>16</v>
      </c>
      <c r="J22">
        <f t="shared" si="3"/>
        <v>831343.87999999989</v>
      </c>
      <c r="L22">
        <f t="shared" si="1"/>
        <v>2287343.88</v>
      </c>
      <c r="M22">
        <f xml:space="preserve"> 15000 * 1.1 + 450000</f>
        <v>466500</v>
      </c>
      <c r="N22" t="s">
        <v>24</v>
      </c>
      <c r="O22">
        <f t="shared" si="4"/>
        <v>-475656.12000000011</v>
      </c>
    </row>
    <row r="23" spans="1:15" x14ac:dyDescent="0.3">
      <c r="A23" s="2">
        <v>46419</v>
      </c>
      <c r="B23" s="3">
        <f>SUM(B22, 1375 - 1375 * 0.1)</f>
        <v>50699.68</v>
      </c>
      <c r="C23" s="3">
        <v>2160</v>
      </c>
      <c r="D23" s="3">
        <f>SUM(D22, 2420 * 0.2)</f>
        <v>968</v>
      </c>
      <c r="E23" s="3"/>
      <c r="G23">
        <f t="shared" si="0"/>
        <v>2522571.1800000002</v>
      </c>
      <c r="H23">
        <f xml:space="preserve"> 15000 * 1.1</f>
        <v>16500</v>
      </c>
      <c r="I23" t="s">
        <v>16</v>
      </c>
      <c r="J23">
        <f t="shared" si="3"/>
        <v>1050071.1800000002</v>
      </c>
      <c r="L23">
        <f t="shared" si="1"/>
        <v>2522571.1800000002</v>
      </c>
      <c r="M23">
        <f xml:space="preserve"> 15000 * 1.1 + 147000</f>
        <v>163500</v>
      </c>
      <c r="N23" t="s">
        <v>23</v>
      </c>
      <c r="O23">
        <f t="shared" si="4"/>
        <v>-403928.81999999983</v>
      </c>
    </row>
    <row r="24" spans="1:15" x14ac:dyDescent="0.3">
      <c r="A24" s="2">
        <v>46447</v>
      </c>
      <c r="B24" s="3">
        <f t="shared" ref="B24:B27" si="7">SUM(B23, 1375 - 1375 * 0.1)</f>
        <v>51937.18</v>
      </c>
      <c r="C24" s="3">
        <v>2160</v>
      </c>
      <c r="D24" s="3">
        <f>SUM(D23, 2420 * 0.2)</f>
        <v>1452</v>
      </c>
      <c r="E24" s="3"/>
      <c r="G24">
        <f t="shared" si="0"/>
        <v>2585683.6800000002</v>
      </c>
      <c r="H24">
        <f xml:space="preserve"> 15000 * 1.1 + 87500</f>
        <v>104000</v>
      </c>
      <c r="I24" t="s">
        <v>15</v>
      </c>
      <c r="J24">
        <f t="shared" si="3"/>
        <v>1009183.6800000002</v>
      </c>
      <c r="L24">
        <f t="shared" si="1"/>
        <v>2585683.6800000002</v>
      </c>
      <c r="M24">
        <f xml:space="preserve"> 15000 * 1.1</f>
        <v>16500</v>
      </c>
      <c r="N24" t="s">
        <v>16</v>
      </c>
      <c r="O24">
        <f t="shared" si="4"/>
        <v>-357316.31999999983</v>
      </c>
    </row>
    <row r="25" spans="1:15" x14ac:dyDescent="0.3">
      <c r="A25" s="2">
        <v>46478</v>
      </c>
      <c r="B25" s="3">
        <f t="shared" si="7"/>
        <v>53174.68</v>
      </c>
      <c r="C25" s="3">
        <v>2160</v>
      </c>
      <c r="D25" s="3">
        <f>SUM(D24, 2420 * 0.2)</f>
        <v>1936</v>
      </c>
      <c r="E25" s="3"/>
      <c r="G25">
        <f t="shared" si="0"/>
        <v>2648796.1800000002</v>
      </c>
      <c r="H25">
        <f xml:space="preserve"> 15000 * 1.1</f>
        <v>16500</v>
      </c>
      <c r="I25" t="s">
        <v>16</v>
      </c>
      <c r="J25">
        <f t="shared" si="3"/>
        <v>1055796.1800000002</v>
      </c>
      <c r="L25">
        <f t="shared" si="1"/>
        <v>2648796.1800000002</v>
      </c>
      <c r="M25">
        <f xml:space="preserve"> 15000 * 1.1</f>
        <v>16500</v>
      </c>
      <c r="N25" t="s">
        <v>16</v>
      </c>
      <c r="O25">
        <f t="shared" si="4"/>
        <v>-310703.81999999983</v>
      </c>
    </row>
    <row r="26" spans="1:15" x14ac:dyDescent="0.3">
      <c r="A26" s="2">
        <v>46508</v>
      </c>
      <c r="B26" s="3">
        <f t="shared" si="7"/>
        <v>54412.18</v>
      </c>
      <c r="C26" s="3">
        <v>2160</v>
      </c>
      <c r="D26" s="3">
        <f>SUM(D25, 2420 * 0.2)</f>
        <v>2420</v>
      </c>
      <c r="E26" s="3"/>
      <c r="G26">
        <f t="shared" si="0"/>
        <v>2711908.68</v>
      </c>
      <c r="H26">
        <f xml:space="preserve"> 15000 * 1.1</f>
        <v>16500</v>
      </c>
      <c r="I26" t="s">
        <v>16</v>
      </c>
      <c r="J26">
        <f t="shared" si="3"/>
        <v>1102408.6800000002</v>
      </c>
      <c r="L26">
        <f t="shared" si="1"/>
        <v>2711908.68</v>
      </c>
      <c r="M26">
        <f xml:space="preserve"> 15000 * 1.1 + 147000</f>
        <v>163500</v>
      </c>
      <c r="N26" t="s">
        <v>23</v>
      </c>
      <c r="O26">
        <f t="shared" si="4"/>
        <v>-411091.31999999983</v>
      </c>
    </row>
    <row r="27" spans="1:15" x14ac:dyDescent="0.3">
      <c r="A27" s="2">
        <v>46539</v>
      </c>
      <c r="B27" s="3">
        <f t="shared" si="7"/>
        <v>55649.68</v>
      </c>
      <c r="C27" s="3">
        <v>2160</v>
      </c>
      <c r="D27" s="3">
        <f>SUM(D26, 2420 * 0.2)</f>
        <v>2904</v>
      </c>
      <c r="E27" s="3"/>
      <c r="G27">
        <f t="shared" si="0"/>
        <v>2775021.18</v>
      </c>
      <c r="H27">
        <f xml:space="preserve"> 15000 * 1.1 + 685000</f>
        <v>701500</v>
      </c>
      <c r="I27" t="s">
        <v>15</v>
      </c>
      <c r="J27">
        <f t="shared" si="3"/>
        <v>464021.18000000017</v>
      </c>
      <c r="L27">
        <f t="shared" si="1"/>
        <v>2775021.18</v>
      </c>
      <c r="M27">
        <f xml:space="preserve"> 15000 * 1.1</f>
        <v>16500</v>
      </c>
      <c r="N27" t="s">
        <v>16</v>
      </c>
      <c r="O27">
        <f t="shared" si="4"/>
        <v>-364478.81999999983</v>
      </c>
    </row>
    <row r="28" spans="1:15" x14ac:dyDescent="0.3">
      <c r="A28" s="2">
        <v>46569</v>
      </c>
      <c r="B28" s="3">
        <f>SUM(B27, D27 * 1.18, 1375 - 1375 * 0.1)</f>
        <v>60313.9</v>
      </c>
      <c r="C28" s="3">
        <v>2160</v>
      </c>
      <c r="D28" s="3">
        <f xml:space="preserve"> 2420 * 0.2</f>
        <v>484</v>
      </c>
      <c r="E28" s="3"/>
      <c r="G28">
        <f t="shared" si="0"/>
        <v>2838133.68</v>
      </c>
      <c r="H28">
        <f xml:space="preserve"> 15000 * 1.1</f>
        <v>16500</v>
      </c>
      <c r="I28" t="s">
        <v>16</v>
      </c>
      <c r="J28">
        <f t="shared" si="3"/>
        <v>510633.68000000017</v>
      </c>
      <c r="L28">
        <f t="shared" si="1"/>
        <v>2838133.68</v>
      </c>
      <c r="M28">
        <f xml:space="preserve"> 15000 * 1.1</f>
        <v>16500</v>
      </c>
      <c r="N28" t="s">
        <v>16</v>
      </c>
      <c r="O28">
        <f t="shared" si="4"/>
        <v>-317866.31999999983</v>
      </c>
    </row>
    <row r="29" spans="1:15" x14ac:dyDescent="0.3">
      <c r="A29" s="2">
        <v>46600</v>
      </c>
      <c r="B29" s="3"/>
      <c r="C29" s="3">
        <v>2160</v>
      </c>
      <c r="D29" s="3"/>
      <c r="E29" s="3"/>
    </row>
    <row r="30" spans="1:15" x14ac:dyDescent="0.3">
      <c r="A30" s="2">
        <v>46631</v>
      </c>
      <c r="B30" s="3"/>
      <c r="C30" s="3">
        <v>2160</v>
      </c>
      <c r="D30" s="3"/>
      <c r="E30" s="3"/>
    </row>
    <row r="31" spans="1:15" x14ac:dyDescent="0.3">
      <c r="A31" s="2">
        <v>46661</v>
      </c>
      <c r="B31" s="3"/>
      <c r="C31" s="3">
        <v>2160</v>
      </c>
      <c r="D31" s="3"/>
      <c r="E31" s="3"/>
    </row>
    <row r="32" spans="1:15" x14ac:dyDescent="0.3">
      <c r="A32" s="2">
        <v>46692</v>
      </c>
      <c r="B32" s="3"/>
      <c r="C32" s="3">
        <v>2160</v>
      </c>
      <c r="D32" s="3"/>
      <c r="E32" s="3"/>
    </row>
    <row r="33" spans="1:5" x14ac:dyDescent="0.3">
      <c r="A33" s="2">
        <v>46722</v>
      </c>
      <c r="B33" s="3"/>
      <c r="C33" s="3">
        <v>2160</v>
      </c>
      <c r="D33" s="3"/>
      <c r="E33" s="3"/>
    </row>
    <row r="34" spans="1:5" x14ac:dyDescent="0.3">
      <c r="A34" s="2">
        <v>46753</v>
      </c>
      <c r="B34" s="3"/>
      <c r="C34" s="3"/>
      <c r="D34" s="3"/>
      <c r="E34" s="3"/>
    </row>
    <row r="35" spans="1:5" x14ac:dyDescent="0.3">
      <c r="A35" s="2">
        <v>46784</v>
      </c>
      <c r="B35" s="3"/>
      <c r="C35" s="3"/>
      <c r="D35" s="3"/>
      <c r="E35" s="3"/>
    </row>
    <row r="36" spans="1:5" x14ac:dyDescent="0.3">
      <c r="A36" s="2">
        <v>46813</v>
      </c>
      <c r="B36" s="3"/>
      <c r="C36" s="3"/>
      <c r="D36" s="3"/>
      <c r="E36" s="3"/>
    </row>
    <row r="37" spans="1:5" x14ac:dyDescent="0.3">
      <c r="A37" s="2">
        <v>46844</v>
      </c>
      <c r="B37" s="3"/>
      <c r="C37" s="3"/>
      <c r="D37" s="3"/>
      <c r="E37" s="3"/>
    </row>
    <row r="38" spans="1:5" x14ac:dyDescent="0.3">
      <c r="A38" s="2">
        <v>46874</v>
      </c>
      <c r="B38" s="3"/>
      <c r="C38" s="3"/>
      <c r="D38" s="3"/>
      <c r="E38" s="3"/>
    </row>
    <row r="39" spans="1:5" x14ac:dyDescent="0.3">
      <c r="A39" s="2">
        <v>46905</v>
      </c>
      <c r="B39" s="3"/>
      <c r="C39" s="3"/>
      <c r="D39" s="3"/>
      <c r="E39" s="3"/>
    </row>
    <row r="40" spans="1:5" x14ac:dyDescent="0.3">
      <c r="A40" s="2">
        <v>46935</v>
      </c>
      <c r="B40" s="3"/>
      <c r="C40" s="3"/>
      <c r="D40" s="3"/>
      <c r="E40" s="3"/>
    </row>
    <row r="41" spans="1:5" x14ac:dyDescent="0.3">
      <c r="A41" s="2">
        <v>46966</v>
      </c>
      <c r="B41" s="3"/>
      <c r="C41" s="3"/>
      <c r="D41" s="3"/>
      <c r="E41" s="3"/>
    </row>
    <row r="42" spans="1:5" x14ac:dyDescent="0.3">
      <c r="A42" s="2">
        <v>46997</v>
      </c>
      <c r="B42" s="3"/>
      <c r="C42" s="3"/>
      <c r="D42" s="3"/>
      <c r="E42" s="3"/>
    </row>
    <row r="43" spans="1:5" x14ac:dyDescent="0.3">
      <c r="A43" s="2">
        <v>47027</v>
      </c>
      <c r="B43" s="3"/>
      <c r="C43" s="3"/>
      <c r="D43" s="3"/>
      <c r="E43" s="3"/>
    </row>
    <row r="44" spans="1:5" x14ac:dyDescent="0.3">
      <c r="A44" s="2">
        <v>47058</v>
      </c>
      <c r="B44" s="3"/>
      <c r="C44" s="3"/>
      <c r="D44" s="3"/>
      <c r="E44" s="3"/>
    </row>
    <row r="45" spans="1:5" x14ac:dyDescent="0.3">
      <c r="A45" s="2">
        <v>47088</v>
      </c>
      <c r="B45" s="3"/>
      <c r="C45" s="3"/>
      <c r="D45" s="3"/>
      <c r="E45" s="3"/>
    </row>
    <row r="46" spans="1:5" x14ac:dyDescent="0.3">
      <c r="A46" s="2">
        <v>47119</v>
      </c>
      <c r="B46" s="3"/>
      <c r="C46" s="3"/>
      <c r="D46" s="3"/>
      <c r="E46" s="3"/>
    </row>
    <row r="47" spans="1:5" x14ac:dyDescent="0.3">
      <c r="A47" s="2">
        <v>47150</v>
      </c>
      <c r="B47" s="3"/>
      <c r="C47" s="3"/>
      <c r="D47" s="3"/>
      <c r="E47" s="3"/>
    </row>
    <row r="48" spans="1:5" x14ac:dyDescent="0.3">
      <c r="A48" s="2">
        <v>47178</v>
      </c>
      <c r="B48" s="3"/>
      <c r="C48" s="3"/>
      <c r="D48" s="3"/>
      <c r="E48" s="3"/>
    </row>
  </sheetData>
  <mergeCells count="2">
    <mergeCell ref="G1:J1"/>
    <mergeCell ref="L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2025-04-23T21:09:09Z</dcterms:created>
  <dcterms:modified xsi:type="dcterms:W3CDTF">2025-04-24T22:19:26Z</dcterms:modified>
</cp:coreProperties>
</file>