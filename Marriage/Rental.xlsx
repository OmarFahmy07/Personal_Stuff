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 Stuff\Preparing for Marriage\"/>
    </mc:Choice>
  </mc:AlternateContent>
  <xr:revisionPtr revIDLastSave="0" documentId="13_ncr:1_{88D48B2B-96C1-4E06-828B-A360DD374091}" xr6:coauthVersionLast="47" xr6:coauthVersionMax="47" xr10:uidLastSave="{00000000-0000-0000-0000-000000000000}"/>
  <bookViews>
    <workbookView xWindow="-108" yWindow="-108" windowWidth="23256" windowHeight="13896" xr2:uid="{B30EBE25-95F0-46A7-BA23-9113FAA11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E15" i="1" s="1"/>
  <c r="B15" i="1"/>
  <c r="D37" i="1"/>
  <c r="D36" i="1"/>
  <c r="C32" i="1"/>
  <c r="C31" i="1"/>
  <c r="C34" i="1"/>
  <c r="C35" i="1"/>
  <c r="C33" i="1"/>
  <c r="C38" i="1"/>
  <c r="C39" i="1"/>
  <c r="C36" i="1"/>
  <c r="C37" i="1"/>
  <c r="B11" i="1"/>
  <c r="D11" i="1" s="1"/>
  <c r="E11" i="1" s="1"/>
  <c r="E19" i="1"/>
  <c r="B18" i="1"/>
  <c r="D18" i="1" s="1"/>
  <c r="E18" i="1" s="1"/>
  <c r="D7" i="1"/>
  <c r="E7" i="1" s="1"/>
  <c r="D6" i="1"/>
  <c r="E6" i="1" s="1"/>
  <c r="B13" i="1"/>
  <c r="B8" i="1"/>
  <c r="D8" i="1" s="1"/>
  <c r="E8" i="1" s="1"/>
  <c r="B7" i="1"/>
  <c r="B6" i="1"/>
  <c r="B4" i="1"/>
  <c r="D4" i="1" s="1"/>
  <c r="E4" i="1" s="1"/>
  <c r="B3" i="1"/>
  <c r="D3" i="1" s="1"/>
  <c r="E3" i="1" s="1"/>
  <c r="B2" i="1"/>
  <c r="D2" i="1" s="1"/>
  <c r="E2" i="1" s="1"/>
  <c r="E17" i="1"/>
  <c r="B12" i="1"/>
  <c r="B10" i="1"/>
  <c r="B16" i="1" l="1"/>
  <c r="E16" i="1" s="1"/>
  <c r="B14" i="1" l="1"/>
  <c r="B9" i="1"/>
</calcChain>
</file>

<file path=xl/sharedStrings.xml><?xml version="1.0" encoding="utf-8"?>
<sst xmlns="http://schemas.openxmlformats.org/spreadsheetml/2006/main" count="26" uniqueCount="26">
  <si>
    <t>Area</t>
  </si>
  <si>
    <t>West Arabella</t>
  </si>
  <si>
    <t>Gardenia</t>
  </si>
  <si>
    <t>El Narges and El Narges El Gededa</t>
  </si>
  <si>
    <t>Lotus</t>
  </si>
  <si>
    <t>Rehab</t>
  </si>
  <si>
    <t>Dar Masr El Koronfel</t>
  </si>
  <si>
    <t>El Yasmeen</t>
  </si>
  <si>
    <t>El Banafseg 3emarat</t>
  </si>
  <si>
    <t>Ganoob el academeya</t>
  </si>
  <si>
    <t>Paradise Compound</t>
  </si>
  <si>
    <t>Tamr 7ena</t>
  </si>
  <si>
    <t>Notes</t>
  </si>
  <si>
    <t>El da2ery in general: check "شقق للبيع والايجار القطامية وان قطامية" group + RS108 to RS114</t>
  </si>
  <si>
    <t>Enzel be nafsak lef bel 3arabeya wes2al bawabeen</t>
  </si>
  <si>
    <t>Da2ery (baron, palm, knight, etc)</t>
  </si>
  <si>
    <t>Out of budget :(</t>
  </si>
  <si>
    <t>Shar2 el academeya</t>
  </si>
  <si>
    <t>Al Ashrafya</t>
  </si>
  <si>
    <t>El 7ay el 1 --&gt; El 7ay el 5</t>
  </si>
  <si>
    <t>Approximate Distance (to + from work)</t>
  </si>
  <si>
    <t>Gardenia Heights</t>
  </si>
  <si>
    <t>Gas Monthly Consumption (Assuming 7.3 L / 100 km and 1 L = EGP 19)</t>
  </si>
  <si>
    <t>Kms Per Month for 19.25 work days (assuming 12 holidays and 21 vacation days yearly), 1 weekly visit to October, 1 weekly visit to Banafseg</t>
  </si>
  <si>
    <t>Zahraa El Maadi (Tegan 2)</t>
  </si>
  <si>
    <t>El mostasmereen el ganobya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</si>
</sst>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8CD3-9350-453C-B36F-1CC12EED4292}">
  <dimension ref="A1:E39"/>
  <sheetViews>
    <sheetView tabSelected="1" workbookViewId="0">
      <selection activeCell="C20" sqref="C20"/>
    </sheetView>
  </sheetViews>
  <sheetFormatPr defaultRowHeight="14.4" x14ac:dyDescent="0.3"/>
  <cols>
    <col min="1" max="1" width="28.6640625" bestFit="1" customWidth="1"/>
    <col min="2" max="2" width="42.44140625" style="1" bestFit="1" customWidth="1"/>
    <col min="3" max="3" width="45" bestFit="1" customWidth="1"/>
    <col min="4" max="4" width="42.44140625" customWidth="1"/>
    <col min="5" max="5" width="27.109375" customWidth="1"/>
  </cols>
  <sheetData>
    <row r="1" spans="1:5" ht="72" x14ac:dyDescent="0.3">
      <c r="A1" s="3" t="s">
        <v>0</v>
      </c>
      <c r="B1" s="3" t="s">
        <v>20</v>
      </c>
      <c r="C1" s="3" t="s">
        <v>12</v>
      </c>
      <c r="D1" s="4" t="s">
        <v>23</v>
      </c>
      <c r="E1" s="4" t="s">
        <v>22</v>
      </c>
    </row>
    <row r="2" spans="1:5" x14ac:dyDescent="0.3">
      <c r="A2" s="1" t="s">
        <v>9</v>
      </c>
      <c r="B2" s="1">
        <f>4.3+6.2</f>
        <v>10.5</v>
      </c>
      <c r="C2" s="7" t="s">
        <v>14</v>
      </c>
      <c r="D2" s="1">
        <f>B2*19.25+(62.1+58.3)*4+(9+8.9)*4</f>
        <v>755.32500000000005</v>
      </c>
      <c r="E2" s="5">
        <f>(D2/100)*7.3*19</f>
        <v>1047.635775</v>
      </c>
    </row>
    <row r="3" spans="1:5" x14ac:dyDescent="0.3">
      <c r="A3" s="1" t="s">
        <v>19</v>
      </c>
      <c r="B3" s="1">
        <f>5.6+7</f>
        <v>12.6</v>
      </c>
      <c r="C3" s="7"/>
      <c r="D3" s="1">
        <f>B3*19.25+(54.7+57.6)*4+(13.2+12.8)*4</f>
        <v>795.75</v>
      </c>
      <c r="E3" s="5">
        <f>(D3/100)*7.3*19</f>
        <v>1103.70525</v>
      </c>
    </row>
    <row r="4" spans="1:5" x14ac:dyDescent="0.3">
      <c r="A4" s="1" t="s">
        <v>17</v>
      </c>
      <c r="B4" s="1">
        <f>6.1+6.9</f>
        <v>13</v>
      </c>
      <c r="C4" s="7"/>
      <c r="D4" s="1">
        <f>B4*19.25+(61.6+60.5)*4+(7.8+8.3)*4</f>
        <v>803.05</v>
      </c>
      <c r="E4" s="5">
        <f>(D4/100)*7.3*19</f>
        <v>1113.83035</v>
      </c>
    </row>
    <row r="5" spans="1:5" x14ac:dyDescent="0.3">
      <c r="A5" s="1" t="s">
        <v>1</v>
      </c>
      <c r="B5" s="1">
        <v>14.8</v>
      </c>
      <c r="C5" s="7"/>
      <c r="D5" s="1"/>
      <c r="E5" s="5"/>
    </row>
    <row r="6" spans="1:5" x14ac:dyDescent="0.3">
      <c r="A6" s="1" t="s">
        <v>3</v>
      </c>
      <c r="B6" s="1">
        <f>9.4+7.3</f>
        <v>16.7</v>
      </c>
      <c r="C6" s="7"/>
      <c r="D6" s="1">
        <f>16.7*19.25+(61.9+60.9)*4+(10.2+8.5)*4</f>
        <v>887.47499999999991</v>
      </c>
      <c r="E6" s="5">
        <f t="shared" ref="E6:E19" si="0">(D6/100)*7.3*19</f>
        <v>1230.9278249999998</v>
      </c>
    </row>
    <row r="7" spans="1:5" x14ac:dyDescent="0.3">
      <c r="A7" s="1" t="s">
        <v>7</v>
      </c>
      <c r="B7" s="1">
        <f>8.9+8</f>
        <v>16.899999999999999</v>
      </c>
      <c r="C7" s="7"/>
      <c r="D7" s="1">
        <f>16.9*19.25+(64.5+60.8)*4+(5.1+5.7)*4</f>
        <v>869.72500000000002</v>
      </c>
      <c r="E7" s="5">
        <f t="shared" si="0"/>
        <v>1206.308575</v>
      </c>
    </row>
    <row r="8" spans="1:5" x14ac:dyDescent="0.3">
      <c r="A8" s="1" t="s">
        <v>8</v>
      </c>
      <c r="B8" s="1">
        <f>9.2+8.1</f>
        <v>17.299999999999997</v>
      </c>
      <c r="C8" s="7"/>
      <c r="D8" s="1">
        <f>B8*19.25+(63.6+60.9)*4+(5+5.1)*4</f>
        <v>871.42499999999984</v>
      </c>
      <c r="E8" s="5">
        <f t="shared" si="0"/>
        <v>1208.6664749999998</v>
      </c>
    </row>
    <row r="9" spans="1:5" x14ac:dyDescent="0.3">
      <c r="A9" s="1" t="s">
        <v>2</v>
      </c>
      <c r="B9" s="1">
        <f>9+11.2</f>
        <v>20.2</v>
      </c>
      <c r="C9" s="1"/>
      <c r="D9" s="1"/>
      <c r="E9" s="5"/>
    </row>
    <row r="10" spans="1:5" x14ac:dyDescent="0.3">
      <c r="A10" s="1" t="s">
        <v>18</v>
      </c>
      <c r="B10" s="1">
        <f>10.7+11.4</f>
        <v>22.1</v>
      </c>
      <c r="C10" s="1"/>
      <c r="D10" s="1"/>
      <c r="E10" s="5"/>
    </row>
    <row r="11" spans="1:5" x14ac:dyDescent="0.3">
      <c r="A11" s="1" t="s">
        <v>25</v>
      </c>
      <c r="B11" s="1">
        <f>(12.5+11)</f>
        <v>23.5</v>
      </c>
      <c r="D11" s="1">
        <f>B11*19.25+(62.2+62.2)*4+(8.2+7.8)*4</f>
        <v>1013.975</v>
      </c>
      <c r="E11" s="6">
        <f>(D11/100)*7.3*19</f>
        <v>1406.3833249999998</v>
      </c>
    </row>
    <row r="12" spans="1:5" ht="28.8" x14ac:dyDescent="0.3">
      <c r="A12" s="1" t="s">
        <v>15</v>
      </c>
      <c r="B12" s="1">
        <f>10.2+13.7</f>
        <v>23.9</v>
      </c>
      <c r="C12" s="2" t="s">
        <v>13</v>
      </c>
      <c r="D12" s="1"/>
      <c r="E12" s="5"/>
    </row>
    <row r="13" spans="1:5" x14ac:dyDescent="0.3">
      <c r="A13" s="1" t="s">
        <v>21</v>
      </c>
      <c r="B13" s="1">
        <f>10.8+13.8</f>
        <v>24.6</v>
      </c>
      <c r="C13" s="2"/>
      <c r="D13" s="1"/>
      <c r="E13" s="5"/>
    </row>
    <row r="14" spans="1:5" x14ac:dyDescent="0.3">
      <c r="A14" s="1" t="s">
        <v>5</v>
      </c>
      <c r="B14" s="1">
        <f>14.4+14.2</f>
        <v>28.6</v>
      </c>
      <c r="C14" s="1" t="s">
        <v>16</v>
      </c>
      <c r="D14" s="1"/>
      <c r="E14" s="5"/>
    </row>
    <row r="15" spans="1:5" x14ac:dyDescent="0.3">
      <c r="A15" s="1" t="s">
        <v>4</v>
      </c>
      <c r="B15" s="1">
        <f>13.2+16.2</f>
        <v>29.4</v>
      </c>
      <c r="C15" s="1"/>
      <c r="D15" s="1">
        <f>B15*19.25+147*4</f>
        <v>1153.9499999999998</v>
      </c>
      <c r="E15" s="5">
        <f t="shared" si="0"/>
        <v>1600.5286499999997</v>
      </c>
    </row>
    <row r="16" spans="1:5" x14ac:dyDescent="0.3">
      <c r="A16" s="1" t="s">
        <v>10</v>
      </c>
      <c r="B16" s="1">
        <f>17+14</f>
        <v>31</v>
      </c>
      <c r="C16" s="1"/>
      <c r="D16" s="1">
        <f>B16*19.25+150*4</f>
        <v>1196.75</v>
      </c>
      <c r="E16" s="5">
        <f t="shared" si="0"/>
        <v>1659.8922499999999</v>
      </c>
    </row>
    <row r="17" spans="1:5" x14ac:dyDescent="0.3">
      <c r="A17" s="1" t="s">
        <v>11</v>
      </c>
      <c r="B17" s="1">
        <v>32</v>
      </c>
      <c r="C17" s="1"/>
      <c r="D17" s="1">
        <v>1264</v>
      </c>
      <c r="E17" s="5">
        <f t="shared" si="0"/>
        <v>1753.1680000000001</v>
      </c>
    </row>
    <row r="18" spans="1:5" x14ac:dyDescent="0.3">
      <c r="A18" s="1" t="s">
        <v>24</v>
      </c>
      <c r="B18" s="1">
        <f>17.4+16.6</f>
        <v>34</v>
      </c>
      <c r="D18" s="1">
        <f>B18*19.25+(47.1+47.6)*4+(29.2+27.4)*4</f>
        <v>1259.6999999999998</v>
      </c>
      <c r="E18" s="6">
        <f>(D18/100)*7.3*19</f>
        <v>1747.2038999999997</v>
      </c>
    </row>
    <row r="19" spans="1:5" x14ac:dyDescent="0.3">
      <c r="A19" s="1" t="s">
        <v>6</v>
      </c>
      <c r="B19" s="1">
        <v>35</v>
      </c>
      <c r="C19" s="1"/>
      <c r="D19" s="1">
        <v>1378</v>
      </c>
      <c r="E19" s="5">
        <f t="shared" si="0"/>
        <v>1911.2859999999998</v>
      </c>
    </row>
    <row r="20" spans="1:5" x14ac:dyDescent="0.3">
      <c r="A20" s="1"/>
      <c r="C20" s="1"/>
      <c r="D20" s="1"/>
      <c r="E20" s="5"/>
    </row>
    <row r="31" spans="1:5" x14ac:dyDescent="0.3">
      <c r="B31" s="1">
        <v>12000</v>
      </c>
      <c r="C31">
        <f>B31*12+(B31*1.1)*12</f>
        <v>302400</v>
      </c>
    </row>
    <row r="32" spans="1:5" x14ac:dyDescent="0.3">
      <c r="B32" s="1">
        <v>13000</v>
      </c>
      <c r="C32">
        <f>B32*12+(B32*1.1)*12</f>
        <v>327600</v>
      </c>
    </row>
    <row r="33" spans="2:4" x14ac:dyDescent="0.3">
      <c r="B33" s="1">
        <v>14000</v>
      </c>
      <c r="C33">
        <f>B33*12+(B33*1.1)*12</f>
        <v>352800</v>
      </c>
    </row>
    <row r="34" spans="2:4" x14ac:dyDescent="0.3">
      <c r="B34" s="1">
        <v>15000</v>
      </c>
      <c r="C34">
        <f t="shared" ref="C34:C35" si="1">B34*12+(B34*1.1)*12</f>
        <v>378000</v>
      </c>
    </row>
    <row r="35" spans="2:4" x14ac:dyDescent="0.3">
      <c r="B35" s="1">
        <v>16000</v>
      </c>
      <c r="C35">
        <f t="shared" si="1"/>
        <v>403200</v>
      </c>
    </row>
    <row r="36" spans="2:4" x14ac:dyDescent="0.3">
      <c r="B36" s="1">
        <v>17000</v>
      </c>
      <c r="C36">
        <f>B36*12+(B36*1.1)*12</f>
        <v>428400</v>
      </c>
      <c r="D36">
        <f>18000*12+18000*1.1*12</f>
        <v>453600</v>
      </c>
    </row>
    <row r="37" spans="2:4" x14ac:dyDescent="0.3">
      <c r="B37" s="1">
        <v>18000</v>
      </c>
      <c r="C37">
        <f>B37*12+(B37*1.1)*12</f>
        <v>453600</v>
      </c>
      <c r="D37">
        <f>17000*12+17000*1.1*12+17000*1.1*1.1</f>
        <v>448970</v>
      </c>
    </row>
    <row r="38" spans="2:4" x14ac:dyDescent="0.3">
      <c r="B38" s="1">
        <v>19000</v>
      </c>
      <c r="C38">
        <f>B38*12+(B38*1.1)*12</f>
        <v>478800</v>
      </c>
    </row>
    <row r="39" spans="2:4" x14ac:dyDescent="0.3">
      <c r="B39" s="1">
        <v>20000</v>
      </c>
      <c r="C39">
        <f>B39*12+(B39*1.1)*12</f>
        <v>504000</v>
      </c>
    </row>
  </sheetData>
  <mergeCells count="1">
    <mergeCell ref="C2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Fahmy, Omar</dc:creator>
  <cp:lastModifiedBy>Fahmy, Omar</cp:lastModifiedBy>
  <dcterms:created xsi:type="dcterms:W3CDTF">2025-07-01T13:44:21Z</dcterms:created>
  <dcterms:modified xsi:type="dcterms:W3CDTF">2025-08-14T14:57:49Z</dcterms:modified>
</cp:coreProperties>
</file>