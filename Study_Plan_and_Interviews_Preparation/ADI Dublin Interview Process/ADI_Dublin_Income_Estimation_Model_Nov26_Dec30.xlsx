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ersonal_Stuff\Study_Plan_and_Interviews_Preparation\ADI Dublin Interview Process\"/>
    </mc:Choice>
  </mc:AlternateContent>
  <xr:revisionPtr revIDLastSave="0" documentId="13_ncr:1_{F5CCF444-782C-443F-86C1-56FE094DB7D8}" xr6:coauthVersionLast="47" xr6:coauthVersionMax="47" xr10:uidLastSave="{00000000-0000-0000-0000-000000000000}"/>
  <bookViews>
    <workbookView xWindow="11424" yWindow="0" windowWidth="11712" windowHeight="13776" activeTab="1" xr2:uid="{00000000-000D-0000-FFFF-FFFF00000000}"/>
  </bookViews>
  <sheets>
    <sheet name="Inputs" sheetId="1" r:id="rId1"/>
    <sheet name="Monthly Schedule" sheetId="2" r:id="rId2"/>
  </sheets>
  <definedNames>
    <definedName name="Base_Annual_Salary">Inputs!$B$4</definedName>
    <definedName name="Bonus_Pct_P1">Inputs!$B$10</definedName>
    <definedName name="Bonus_Pct_P2">Inputs!$B$11</definedName>
    <definedName name="Bonus_Pct_P3">Inputs!$B$12</definedName>
    <definedName name="Bonus_Pct_P4">Inputs!$B$13</definedName>
    <definedName name="Bonus_Pct_P5">Inputs!$B$14</definedName>
    <definedName name="ESPP_Contrib_Pct">Inputs!$B$19</definedName>
    <definedName name="ESPP_Discount">Inputs!$B$20</definedName>
    <definedName name="EUR_to_USD">Inputs!$B$28</definedName>
    <definedName name="IRL_EmployeeCredit">Inputs!$B$34</definedName>
    <definedName name="IRL_HighRate">Inputs!$B$32</definedName>
    <definedName name="IRL_PersonalCredit">Inputs!$B$33</definedName>
    <definedName name="IRL_PRSI_Rate">Inputs!$B$35</definedName>
    <definedName name="IRL_StdBand">Inputs!$B$30</definedName>
    <definedName name="IRL_StdRate">Inputs!$B$31</definedName>
    <definedName name="Living_Expenses_EGP_Monthly_2026">Inputs!$B$23</definedName>
    <definedName name="Living_Expenses_EGP_Monthly_2027">Inputs!$B$24</definedName>
    <definedName name="Living_Expenses_EGP_Monthly_2028">Inputs!$B$25</definedName>
    <definedName name="Living_Expenses_EGP_Monthly_2029">Inputs!$B$26</definedName>
    <definedName name="Living_Expenses_EGP_Monthly_2030">Inputs!$B$27</definedName>
    <definedName name="Living_Expenses_EUR_Monthly_2026">Inputs!$B$23</definedName>
    <definedName name="Living_Expenses_EUR_Monthly_2027">Inputs!$B$24</definedName>
    <definedName name="Living_Expenses_EUR_Monthly_2028">Inputs!$B$25</definedName>
    <definedName name="Living_Expenses_EUR_Monthly_2029">Inputs!$B$26</definedName>
    <definedName name="Living_Expenses_EUR_Monthly_2030">Inputs!$B$27</definedName>
    <definedName name="QuarterKey_Range">Inputs!$D$5:$D$22</definedName>
    <definedName name="QuarterMult_Range">Inputs!$F$5:$F$22</definedName>
    <definedName name="Raise_Pct_May2027">Inputs!$B$5</definedName>
    <definedName name="Raise_Pct_May2028">Inputs!$B$6</definedName>
    <definedName name="Raise_Pct_May2029">Inputs!$B$7</definedName>
    <definedName name="Raise_Pct_May2030">Inputs!$B$8</definedName>
    <definedName name="Relocation_Net">Inputs!$B$22</definedName>
    <definedName name="RSU_Grant_Date">Inputs!$B$17</definedName>
    <definedName name="RSU_Grant_Value">Inputs!$B$16</definedName>
    <definedName name="RSU_Grant_Value_EUR">Inputs!$B$16</definedName>
    <definedName name="Tax_Pct">Inputs!#REF!</definedName>
    <definedName name="USC_R1">Inputs!$B$39</definedName>
    <definedName name="USC_R2">Inputs!$B$40</definedName>
    <definedName name="USC_R3">Inputs!$B$41</definedName>
    <definedName name="USC_R4">Inputs!$B$42</definedName>
    <definedName name="USC_T1">Inputs!$B$36</definedName>
    <definedName name="USC_T2">Inputs!$B$37</definedName>
    <definedName name="USC_T3">Inputs!$B$38</definedName>
    <definedName name="USD_to_EGP">Inputs!$B$28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/>
  <c r="B23" i="1" s="1"/>
  <c r="B22" i="1" l="1"/>
  <c r="F36" i="1"/>
  <c r="B24" i="1"/>
  <c r="B25" i="1" s="1"/>
  <c r="B26" i="1" s="1"/>
  <c r="B27" i="1" s="1"/>
  <c r="L5" i="2"/>
  <c r="D26" i="2" s="1"/>
  <c r="Q51" i="2"/>
  <c r="P51" i="2"/>
  <c r="D51" i="2"/>
  <c r="C51" i="2"/>
  <c r="B51" i="2"/>
  <c r="Q50" i="2"/>
  <c r="P50" i="2"/>
  <c r="F50" i="2"/>
  <c r="C50" i="2"/>
  <c r="B50" i="2"/>
  <c r="Q49" i="2"/>
  <c r="P49" i="2"/>
  <c r="F49" i="2"/>
  <c r="D49" i="2"/>
  <c r="C49" i="2"/>
  <c r="B49" i="2"/>
  <c r="Q48" i="2"/>
  <c r="P48" i="2"/>
  <c r="F48" i="2"/>
  <c r="D48" i="2"/>
  <c r="C48" i="2"/>
  <c r="B48" i="2"/>
  <c r="Q47" i="2"/>
  <c r="P47" i="2"/>
  <c r="F47" i="2"/>
  <c r="D47" i="2"/>
  <c r="C47" i="2"/>
  <c r="B47" i="2"/>
  <c r="Q46" i="2"/>
  <c r="P46" i="2"/>
  <c r="F46" i="2"/>
  <c r="D46" i="2"/>
  <c r="C46" i="2"/>
  <c r="B46" i="2"/>
  <c r="Q45" i="2"/>
  <c r="P45" i="2"/>
  <c r="D45" i="2"/>
  <c r="C45" i="2"/>
  <c r="B45" i="2"/>
  <c r="Q44" i="2"/>
  <c r="P44" i="2"/>
  <c r="F44" i="2"/>
  <c r="D44" i="2"/>
  <c r="C44" i="2"/>
  <c r="B44" i="2"/>
  <c r="Q43" i="2"/>
  <c r="P43" i="2"/>
  <c r="F43" i="2"/>
  <c r="D43" i="2"/>
  <c r="C43" i="2"/>
  <c r="B43" i="2"/>
  <c r="Q42" i="2"/>
  <c r="P42" i="2"/>
  <c r="F42" i="2"/>
  <c r="D42" i="2"/>
  <c r="C42" i="2"/>
  <c r="B42" i="2"/>
  <c r="Q41" i="2"/>
  <c r="P41" i="2"/>
  <c r="F41" i="2"/>
  <c r="D41" i="2"/>
  <c r="C41" i="2"/>
  <c r="B41" i="2"/>
  <c r="Q40" i="2"/>
  <c r="P40" i="2"/>
  <c r="F40" i="2"/>
  <c r="D40" i="2"/>
  <c r="C40" i="2"/>
  <c r="B40" i="2"/>
  <c r="Q39" i="2"/>
  <c r="P39" i="2"/>
  <c r="D39" i="2"/>
  <c r="C39" i="2"/>
  <c r="B39" i="2"/>
  <c r="Q38" i="2"/>
  <c r="P38" i="2"/>
  <c r="F38" i="2"/>
  <c r="C38" i="2"/>
  <c r="B38" i="2"/>
  <c r="Q37" i="2"/>
  <c r="P37" i="2"/>
  <c r="F37" i="2"/>
  <c r="D37" i="2"/>
  <c r="C37" i="2"/>
  <c r="B37" i="2"/>
  <c r="Q36" i="2"/>
  <c r="P36" i="2"/>
  <c r="F36" i="2"/>
  <c r="D36" i="2"/>
  <c r="C36" i="2"/>
  <c r="B36" i="2"/>
  <c r="Q35" i="2"/>
  <c r="P35" i="2"/>
  <c r="F35" i="2"/>
  <c r="D35" i="2"/>
  <c r="C35" i="2"/>
  <c r="B35" i="2"/>
  <c r="Q34" i="2"/>
  <c r="P34" i="2"/>
  <c r="F34" i="2"/>
  <c r="D34" i="2"/>
  <c r="C34" i="2"/>
  <c r="B34" i="2"/>
  <c r="Q33" i="2"/>
  <c r="P33" i="2"/>
  <c r="D33" i="2"/>
  <c r="C33" i="2"/>
  <c r="B33" i="2"/>
  <c r="Q32" i="2"/>
  <c r="P32" i="2"/>
  <c r="F32" i="2"/>
  <c r="D32" i="2"/>
  <c r="C32" i="2"/>
  <c r="B32" i="2"/>
  <c r="Q31" i="2"/>
  <c r="P31" i="2"/>
  <c r="F31" i="2"/>
  <c r="D31" i="2"/>
  <c r="C31" i="2"/>
  <c r="B31" i="2"/>
  <c r="Q30" i="2"/>
  <c r="P30" i="2"/>
  <c r="F30" i="2"/>
  <c r="D30" i="2"/>
  <c r="C30" i="2"/>
  <c r="B30" i="2"/>
  <c r="Q29" i="2"/>
  <c r="P29" i="2"/>
  <c r="F29" i="2"/>
  <c r="D29" i="2"/>
  <c r="C29" i="2"/>
  <c r="B29" i="2"/>
  <c r="Q28" i="2"/>
  <c r="P28" i="2"/>
  <c r="F28" i="2"/>
  <c r="D28" i="2"/>
  <c r="C28" i="2"/>
  <c r="B28" i="2"/>
  <c r="Q27" i="2"/>
  <c r="P27" i="2"/>
  <c r="D27" i="2"/>
  <c r="C27" i="2"/>
  <c r="B27" i="2"/>
  <c r="Q26" i="2"/>
  <c r="P26" i="2"/>
  <c r="F26" i="2"/>
  <c r="C26" i="2"/>
  <c r="B26" i="2"/>
  <c r="Q25" i="2"/>
  <c r="P25" i="2"/>
  <c r="F25" i="2"/>
  <c r="D25" i="2"/>
  <c r="C25" i="2"/>
  <c r="B25" i="2"/>
  <c r="Q24" i="2"/>
  <c r="P24" i="2"/>
  <c r="F24" i="2"/>
  <c r="D24" i="2"/>
  <c r="C24" i="2"/>
  <c r="B24" i="2"/>
  <c r="Q23" i="2"/>
  <c r="P23" i="2"/>
  <c r="F23" i="2"/>
  <c r="D23" i="2"/>
  <c r="C23" i="2"/>
  <c r="B23" i="2"/>
  <c r="Q22" i="2"/>
  <c r="P22" i="2"/>
  <c r="F22" i="2"/>
  <c r="D22" i="2"/>
  <c r="C22" i="2"/>
  <c r="B22" i="2"/>
  <c r="Q21" i="2"/>
  <c r="P21" i="2"/>
  <c r="D21" i="2"/>
  <c r="C21" i="2"/>
  <c r="B21" i="2"/>
  <c r="Q20" i="2"/>
  <c r="P20" i="2"/>
  <c r="F20" i="2"/>
  <c r="D20" i="2"/>
  <c r="C20" i="2"/>
  <c r="B20" i="2"/>
  <c r="Q19" i="2"/>
  <c r="P19" i="2"/>
  <c r="F19" i="2"/>
  <c r="D19" i="2"/>
  <c r="C19" i="2"/>
  <c r="B19" i="2"/>
  <c r="Q18" i="2"/>
  <c r="P18" i="2"/>
  <c r="F18" i="2"/>
  <c r="D18" i="2"/>
  <c r="C18" i="2"/>
  <c r="B18" i="2"/>
  <c r="Q17" i="2"/>
  <c r="P17" i="2"/>
  <c r="F17" i="2"/>
  <c r="D17" i="2"/>
  <c r="C17" i="2"/>
  <c r="B17" i="2"/>
  <c r="Q16" i="2"/>
  <c r="P16" i="2"/>
  <c r="F16" i="2"/>
  <c r="D16" i="2"/>
  <c r="C16" i="2"/>
  <c r="B16" i="2"/>
  <c r="Q15" i="2"/>
  <c r="P15" i="2"/>
  <c r="D15" i="2"/>
  <c r="C15" i="2"/>
  <c r="B15" i="2"/>
  <c r="Q14" i="2"/>
  <c r="P14" i="2"/>
  <c r="F14" i="2"/>
  <c r="C14" i="2"/>
  <c r="B14" i="2"/>
  <c r="Q13" i="2"/>
  <c r="P13" i="2"/>
  <c r="F13" i="2"/>
  <c r="D13" i="2"/>
  <c r="C13" i="2"/>
  <c r="B13" i="2"/>
  <c r="Q12" i="2"/>
  <c r="P12" i="2"/>
  <c r="F12" i="2"/>
  <c r="D12" i="2"/>
  <c r="C12" i="2"/>
  <c r="B12" i="2"/>
  <c r="Q11" i="2"/>
  <c r="P11" i="2"/>
  <c r="F11" i="2"/>
  <c r="D11" i="2"/>
  <c r="C11" i="2"/>
  <c r="B11" i="2"/>
  <c r="Q10" i="2"/>
  <c r="P10" i="2"/>
  <c r="F10" i="2"/>
  <c r="D10" i="2"/>
  <c r="C10" i="2"/>
  <c r="B10" i="2"/>
  <c r="Q9" i="2"/>
  <c r="P9" i="2"/>
  <c r="D9" i="2"/>
  <c r="C9" i="2"/>
  <c r="B9" i="2"/>
  <c r="Q8" i="2"/>
  <c r="P8" i="2"/>
  <c r="F8" i="2"/>
  <c r="D8" i="2"/>
  <c r="C8" i="2"/>
  <c r="B8" i="2"/>
  <c r="Q7" i="2"/>
  <c r="P7" i="2"/>
  <c r="F7" i="2"/>
  <c r="D7" i="2"/>
  <c r="C7" i="2"/>
  <c r="B7" i="2"/>
  <c r="Q6" i="2"/>
  <c r="P6" i="2"/>
  <c r="F6" i="2"/>
  <c r="D6" i="2"/>
  <c r="C6" i="2"/>
  <c r="B6" i="2"/>
  <c r="Q5" i="2"/>
  <c r="P5" i="2"/>
  <c r="F5" i="2"/>
  <c r="D5" i="2"/>
  <c r="C5" i="2"/>
  <c r="B5" i="2"/>
  <c r="Q4" i="2"/>
  <c r="P4" i="2"/>
  <c r="F4" i="2"/>
  <c r="D4" i="2"/>
  <c r="C4" i="2"/>
  <c r="B4" i="2"/>
  <c r="Q3" i="2"/>
  <c r="P3" i="2"/>
  <c r="D3" i="2"/>
  <c r="B3" i="2"/>
  <c r="Q2" i="2"/>
  <c r="P2" i="2"/>
  <c r="F2" i="2"/>
  <c r="D2" i="2"/>
  <c r="C2" i="2"/>
  <c r="B2" i="2"/>
  <c r="L7" i="2" l="1"/>
  <c r="D38" i="2" s="1"/>
  <c r="G38" i="2" s="1"/>
  <c r="L3" i="2"/>
  <c r="D14" i="2" s="1"/>
  <c r="G14" i="2" s="1"/>
  <c r="L9" i="2"/>
  <c r="D50" i="2" s="1"/>
  <c r="G50" i="2" s="1"/>
  <c r="G2" i="2"/>
  <c r="F3" i="2"/>
  <c r="G3" i="2" s="1"/>
  <c r="G4" i="2"/>
  <c r="G5" i="2"/>
  <c r="G6" i="2"/>
  <c r="G7" i="2"/>
  <c r="G8" i="2"/>
  <c r="E9" i="2"/>
  <c r="G10" i="2"/>
  <c r="E10" i="2"/>
  <c r="G11" i="2"/>
  <c r="E11" i="2"/>
  <c r="G12" i="2"/>
  <c r="E12" i="2"/>
  <c r="G13" i="2"/>
  <c r="E13" i="2"/>
  <c r="E14" i="2"/>
  <c r="E15" i="2"/>
  <c r="G16" i="2"/>
  <c r="E16" i="2"/>
  <c r="G17" i="2"/>
  <c r="E17" i="2"/>
  <c r="G18" i="2"/>
  <c r="E18" i="2"/>
  <c r="G19" i="2"/>
  <c r="E19" i="2"/>
  <c r="G20" i="2"/>
  <c r="E20" i="2"/>
  <c r="E21" i="2"/>
  <c r="G22" i="2"/>
  <c r="E22" i="2"/>
  <c r="G23" i="2"/>
  <c r="E23" i="2"/>
  <c r="G24" i="2"/>
  <c r="E24" i="2"/>
  <c r="G25" i="2"/>
  <c r="E25" i="2"/>
  <c r="G26" i="2"/>
  <c r="E26" i="2"/>
  <c r="E27" i="2"/>
  <c r="G28" i="2"/>
  <c r="E28" i="2"/>
  <c r="G29" i="2"/>
  <c r="E29" i="2"/>
  <c r="G30" i="2"/>
  <c r="E30" i="2"/>
  <c r="G31" i="2"/>
  <c r="E31" i="2"/>
  <c r="G32" i="2"/>
  <c r="E32" i="2"/>
  <c r="E33" i="2"/>
  <c r="G34" i="2"/>
  <c r="E34" i="2"/>
  <c r="G35" i="2"/>
  <c r="E35" i="2"/>
  <c r="G36" i="2"/>
  <c r="E36" i="2"/>
  <c r="G37" i="2"/>
  <c r="E37" i="2"/>
  <c r="E38" i="2"/>
  <c r="E39" i="2"/>
  <c r="G40" i="2"/>
  <c r="E40" i="2"/>
  <c r="G41" i="2"/>
  <c r="E41" i="2"/>
  <c r="G42" i="2"/>
  <c r="E42" i="2"/>
  <c r="G43" i="2"/>
  <c r="E43" i="2"/>
  <c r="G44" i="2"/>
  <c r="E44" i="2"/>
  <c r="E45" i="2"/>
  <c r="G46" i="2"/>
  <c r="E46" i="2"/>
  <c r="G47" i="2"/>
  <c r="E47" i="2"/>
  <c r="G48" i="2"/>
  <c r="E48" i="2"/>
  <c r="G49" i="2"/>
  <c r="E49" i="2"/>
  <c r="E50" i="2"/>
  <c r="O50" i="2" l="1"/>
  <c r="O49" i="2"/>
  <c r="O48" i="2"/>
  <c r="O47" i="2"/>
  <c r="O46" i="2"/>
  <c r="F51" i="2"/>
  <c r="G51" i="2" s="1"/>
  <c r="O44" i="2"/>
  <c r="O43" i="2"/>
  <c r="O42" i="2"/>
  <c r="O41" i="2"/>
  <c r="O40" i="2"/>
  <c r="F45" i="2"/>
  <c r="G45" i="2" s="1"/>
  <c r="O38" i="2"/>
  <c r="O37" i="2"/>
  <c r="O36" i="2"/>
  <c r="O35" i="2"/>
  <c r="O34" i="2"/>
  <c r="F39" i="2"/>
  <c r="G39" i="2" s="1"/>
  <c r="O32" i="2"/>
  <c r="O31" i="2"/>
  <c r="O30" i="2"/>
  <c r="O29" i="2"/>
  <c r="O28" i="2"/>
  <c r="F33" i="2"/>
  <c r="G33" i="2" s="1"/>
  <c r="O26" i="2"/>
  <c r="O25" i="2"/>
  <c r="O24" i="2"/>
  <c r="O23" i="2"/>
  <c r="O22" i="2"/>
  <c r="F27" i="2"/>
  <c r="G27" i="2" s="1"/>
  <c r="O20" i="2"/>
  <c r="O19" i="2"/>
  <c r="O18" i="2"/>
  <c r="O17" i="2"/>
  <c r="O16" i="2"/>
  <c r="F21" i="2"/>
  <c r="G21" i="2" s="1"/>
  <c r="O14" i="2"/>
  <c r="O13" i="2"/>
  <c r="O12" i="2"/>
  <c r="O11" i="2"/>
  <c r="O10" i="2"/>
  <c r="F15" i="2"/>
  <c r="G15" i="2" s="1"/>
  <c r="O8" i="2"/>
  <c r="O7" i="2"/>
  <c r="O6" i="2"/>
  <c r="O5" i="2"/>
  <c r="O4" i="2"/>
  <c r="F9" i="2"/>
  <c r="G9" i="2" s="1"/>
  <c r="O3" i="2"/>
  <c r="O2" i="2"/>
  <c r="R2" i="2" l="1"/>
  <c r="R3" i="2"/>
  <c r="O9" i="2"/>
  <c r="R12" i="2" s="1"/>
  <c r="R4" i="2"/>
  <c r="R5" i="2"/>
  <c r="R6" i="2"/>
  <c r="R7" i="2"/>
  <c r="R8" i="2"/>
  <c r="O15" i="2"/>
  <c r="O21" i="2"/>
  <c r="R21" i="2" s="1"/>
  <c r="R16" i="2"/>
  <c r="R17" i="2"/>
  <c r="R18" i="2"/>
  <c r="R19" i="2"/>
  <c r="R20" i="2"/>
  <c r="O27" i="2"/>
  <c r="O33" i="2"/>
  <c r="R34" i="2" s="1"/>
  <c r="R28" i="2"/>
  <c r="R29" i="2"/>
  <c r="R30" i="2"/>
  <c r="R31" i="2"/>
  <c r="R32" i="2"/>
  <c r="O39" i="2"/>
  <c r="O45" i="2"/>
  <c r="R47" i="2" s="1"/>
  <c r="R40" i="2"/>
  <c r="R41" i="2"/>
  <c r="R42" i="2"/>
  <c r="R43" i="2"/>
  <c r="R44" i="2"/>
  <c r="O51" i="2"/>
  <c r="R11" i="2" l="1"/>
  <c r="U11" i="2" s="1"/>
  <c r="R13" i="2"/>
  <c r="U13" i="2" s="1"/>
  <c r="R10" i="2"/>
  <c r="U10" i="2" s="1"/>
  <c r="R9" i="2"/>
  <c r="T9" i="2" s="1"/>
  <c r="R27" i="2"/>
  <c r="U27" i="2" s="1"/>
  <c r="R26" i="2"/>
  <c r="U26" i="2" s="1"/>
  <c r="R22" i="2"/>
  <c r="U22" i="2" s="1"/>
  <c r="R23" i="2"/>
  <c r="U23" i="2" s="1"/>
  <c r="R24" i="2"/>
  <c r="U24" i="2" s="1"/>
  <c r="R25" i="2"/>
  <c r="T25" i="2" s="1"/>
  <c r="R39" i="2"/>
  <c r="S39" i="2" s="1"/>
  <c r="R38" i="2"/>
  <c r="U38" i="2" s="1"/>
  <c r="R37" i="2"/>
  <c r="U37" i="2" s="1"/>
  <c r="R49" i="2"/>
  <c r="U49" i="2" s="1"/>
  <c r="R33" i="2"/>
  <c r="T33" i="2" s="1"/>
  <c r="R50" i="2"/>
  <c r="U50" i="2" s="1"/>
  <c r="R46" i="2"/>
  <c r="T46" i="2" s="1"/>
  <c r="R35" i="2"/>
  <c r="S35" i="2" s="1"/>
  <c r="R36" i="2"/>
  <c r="U36" i="2" s="1"/>
  <c r="R48" i="2"/>
  <c r="T48" i="2" s="1"/>
  <c r="R14" i="2"/>
  <c r="U14" i="2" s="1"/>
  <c r="R51" i="2"/>
  <c r="U51" i="2" s="1"/>
  <c r="R45" i="2"/>
  <c r="U45" i="2" s="1"/>
  <c r="R15" i="2"/>
  <c r="U15" i="2" s="1"/>
  <c r="U47" i="2"/>
  <c r="T47" i="2"/>
  <c r="S47" i="2"/>
  <c r="U44" i="2"/>
  <c r="T44" i="2"/>
  <c r="S44" i="2"/>
  <c r="U43" i="2"/>
  <c r="T43" i="2"/>
  <c r="S43" i="2"/>
  <c r="U42" i="2"/>
  <c r="T42" i="2"/>
  <c r="S42" i="2"/>
  <c r="U41" i="2"/>
  <c r="T41" i="2"/>
  <c r="S41" i="2"/>
  <c r="U40" i="2"/>
  <c r="T40" i="2"/>
  <c r="S40" i="2"/>
  <c r="U34" i="2"/>
  <c r="T34" i="2"/>
  <c r="S34" i="2"/>
  <c r="U32" i="2"/>
  <c r="T32" i="2"/>
  <c r="S32" i="2"/>
  <c r="U31" i="2"/>
  <c r="T31" i="2"/>
  <c r="S31" i="2"/>
  <c r="U30" i="2"/>
  <c r="T30" i="2"/>
  <c r="S30" i="2"/>
  <c r="U29" i="2"/>
  <c r="T29" i="2"/>
  <c r="S29" i="2"/>
  <c r="U28" i="2"/>
  <c r="T28" i="2"/>
  <c r="S28" i="2"/>
  <c r="U21" i="2"/>
  <c r="T21" i="2"/>
  <c r="S21" i="2"/>
  <c r="U20" i="2"/>
  <c r="T20" i="2"/>
  <c r="S20" i="2"/>
  <c r="U19" i="2"/>
  <c r="T19" i="2"/>
  <c r="S19" i="2"/>
  <c r="U18" i="2"/>
  <c r="T18" i="2"/>
  <c r="S18" i="2"/>
  <c r="U17" i="2"/>
  <c r="T17" i="2"/>
  <c r="S17" i="2"/>
  <c r="U16" i="2"/>
  <c r="T16" i="2"/>
  <c r="S16" i="2"/>
  <c r="U12" i="2"/>
  <c r="T12" i="2"/>
  <c r="S12" i="2"/>
  <c r="U8" i="2"/>
  <c r="T8" i="2"/>
  <c r="S8" i="2"/>
  <c r="U7" i="2"/>
  <c r="T7" i="2"/>
  <c r="S7" i="2"/>
  <c r="U6" i="2"/>
  <c r="T6" i="2"/>
  <c r="S6" i="2"/>
  <c r="U5" i="2"/>
  <c r="T5" i="2"/>
  <c r="S5" i="2"/>
  <c r="U4" i="2"/>
  <c r="T4" i="2"/>
  <c r="S4" i="2"/>
  <c r="U3" i="2"/>
  <c r="T3" i="2"/>
  <c r="S3" i="2"/>
  <c r="U2" i="2"/>
  <c r="T2" i="2"/>
  <c r="S2" i="2"/>
  <c r="S11" i="2" l="1"/>
  <c r="T11" i="2"/>
  <c r="S13" i="2"/>
  <c r="T13" i="2"/>
  <c r="T14" i="2"/>
  <c r="U9" i="2"/>
  <c r="S9" i="2"/>
  <c r="S14" i="2"/>
  <c r="T10" i="2"/>
  <c r="S10" i="2"/>
  <c r="U39" i="2"/>
  <c r="S23" i="2"/>
  <c r="T23" i="2"/>
  <c r="T39" i="2"/>
  <c r="T36" i="2"/>
  <c r="S24" i="2"/>
  <c r="T24" i="2"/>
  <c r="T38" i="2"/>
  <c r="S27" i="2"/>
  <c r="T27" i="2"/>
  <c r="S22" i="2"/>
  <c r="V41" i="2"/>
  <c r="T22" i="2"/>
  <c r="S25" i="2"/>
  <c r="U25" i="2"/>
  <c r="V12" i="2"/>
  <c r="V29" i="2"/>
  <c r="T35" i="2"/>
  <c r="T50" i="2"/>
  <c r="U35" i="2"/>
  <c r="T37" i="2"/>
  <c r="S38" i="2"/>
  <c r="U33" i="2"/>
  <c r="U46" i="2"/>
  <c r="S26" i="2"/>
  <c r="T26" i="2"/>
  <c r="S37" i="2"/>
  <c r="S48" i="2"/>
  <c r="S33" i="2"/>
  <c r="V43" i="2"/>
  <c r="V4" i="2"/>
  <c r="W4" i="2" s="1"/>
  <c r="I4" i="2" s="1"/>
  <c r="H4" i="2" s="1"/>
  <c r="T51" i="2"/>
  <c r="U48" i="2"/>
  <c r="V21" i="2"/>
  <c r="S49" i="2"/>
  <c r="V40" i="2"/>
  <c r="W40" i="2" s="1"/>
  <c r="I40" i="2" s="1"/>
  <c r="H40" i="2" s="1"/>
  <c r="T49" i="2"/>
  <c r="S45" i="2"/>
  <c r="V17" i="2"/>
  <c r="V31" i="2"/>
  <c r="V7" i="2"/>
  <c r="S36" i="2"/>
  <c r="T45" i="2"/>
  <c r="S50" i="2"/>
  <c r="V3" i="2"/>
  <c r="V18" i="2"/>
  <c r="V32" i="2"/>
  <c r="S46" i="2"/>
  <c r="V8" i="2"/>
  <c r="S51" i="2"/>
  <c r="V2" i="2"/>
  <c r="W2" i="2" s="1"/>
  <c r="I2" i="2" s="1"/>
  <c r="H2" i="2" s="1"/>
  <c r="V16" i="2"/>
  <c r="W16" i="2" s="1"/>
  <c r="I16" i="2" s="1"/>
  <c r="H16" i="2" s="1"/>
  <c r="V30" i="2"/>
  <c r="V44" i="2"/>
  <c r="V42" i="2"/>
  <c r="V28" i="2"/>
  <c r="W28" i="2" s="1"/>
  <c r="I28" i="2" s="1"/>
  <c r="H28" i="2" s="1"/>
  <c r="V5" i="2"/>
  <c r="V19" i="2"/>
  <c r="V47" i="2"/>
  <c r="S15" i="2"/>
  <c r="V6" i="2"/>
  <c r="T15" i="2"/>
  <c r="V20" i="2"/>
  <c r="V34" i="2"/>
  <c r="V13" i="2" l="1"/>
  <c r="V11" i="2"/>
  <c r="W12" i="2" s="1"/>
  <c r="I12" i="2" s="1"/>
  <c r="H12" i="2" s="1"/>
  <c r="V14" i="2"/>
  <c r="V9" i="2"/>
  <c r="W9" i="2" s="1"/>
  <c r="I9" i="2" s="1"/>
  <c r="H9" i="2" s="1"/>
  <c r="V10" i="2"/>
  <c r="V39" i="2"/>
  <c r="V23" i="2"/>
  <c r="V27" i="2"/>
  <c r="V22" i="2"/>
  <c r="W22" i="2" s="1"/>
  <c r="I22" i="2" s="1"/>
  <c r="H22" i="2" s="1"/>
  <c r="V36" i="2"/>
  <c r="V25" i="2"/>
  <c r="V24" i="2"/>
  <c r="W17" i="2"/>
  <c r="I17" i="2" s="1"/>
  <c r="H17" i="2" s="1"/>
  <c r="V38" i="2"/>
  <c r="W13" i="2"/>
  <c r="I13" i="2" s="1"/>
  <c r="H13" i="2" s="1"/>
  <c r="V50" i="2"/>
  <c r="W42" i="2"/>
  <c r="I42" i="2" s="1"/>
  <c r="H42" i="2" s="1"/>
  <c r="V35" i="2"/>
  <c r="W35" i="2" s="1"/>
  <c r="I35" i="2" s="1"/>
  <c r="H35" i="2" s="1"/>
  <c r="W44" i="2"/>
  <c r="I44" i="2" s="1"/>
  <c r="H44" i="2" s="1"/>
  <c r="W30" i="2"/>
  <c r="I30" i="2" s="1"/>
  <c r="H30" i="2" s="1"/>
  <c r="W18" i="2"/>
  <c r="I18" i="2" s="1"/>
  <c r="H18" i="2" s="1"/>
  <c r="V26" i="2"/>
  <c r="V33" i="2"/>
  <c r="W33" i="2" s="1"/>
  <c r="I33" i="2" s="1"/>
  <c r="H33" i="2" s="1"/>
  <c r="W19" i="2"/>
  <c r="I19" i="2" s="1"/>
  <c r="H19" i="2" s="1"/>
  <c r="V45" i="2"/>
  <c r="W45" i="2" s="1"/>
  <c r="I45" i="2" s="1"/>
  <c r="H45" i="2" s="1"/>
  <c r="V48" i="2"/>
  <c r="W48" i="2" s="1"/>
  <c r="I48" i="2" s="1"/>
  <c r="H48" i="2" s="1"/>
  <c r="W21" i="2"/>
  <c r="I21" i="2" s="1"/>
  <c r="H21" i="2" s="1"/>
  <c r="V37" i="2"/>
  <c r="V51" i="2"/>
  <c r="V46" i="2"/>
  <c r="W47" i="2" s="1"/>
  <c r="I47" i="2" s="1"/>
  <c r="H47" i="2" s="1"/>
  <c r="W7" i="2"/>
  <c r="I7" i="2" s="1"/>
  <c r="H7" i="2" s="1"/>
  <c r="W32" i="2"/>
  <c r="I32" i="2" s="1"/>
  <c r="H32" i="2" s="1"/>
  <c r="W8" i="2"/>
  <c r="I8" i="2" s="1"/>
  <c r="H8" i="2" s="1"/>
  <c r="W41" i="2"/>
  <c r="I41" i="2" s="1"/>
  <c r="H41" i="2" s="1"/>
  <c r="W5" i="2"/>
  <c r="I5" i="2" s="1"/>
  <c r="H5" i="2" s="1"/>
  <c r="W31" i="2"/>
  <c r="I31" i="2" s="1"/>
  <c r="H31" i="2" s="1"/>
  <c r="V15" i="2"/>
  <c r="V49" i="2"/>
  <c r="W3" i="2"/>
  <c r="I3" i="2" s="1"/>
  <c r="H3" i="2" s="1"/>
  <c r="N5" i="2" s="1"/>
  <c r="N11" i="2" s="1" a="1"/>
  <c r="N11" i="2" s="1"/>
  <c r="X11" i="2" s="1"/>
  <c r="W6" i="2"/>
  <c r="I6" i="2" s="1"/>
  <c r="H6" i="2" s="1"/>
  <c r="W20" i="2"/>
  <c r="I20" i="2" s="1"/>
  <c r="H20" i="2" s="1"/>
  <c r="W29" i="2"/>
  <c r="I29" i="2" s="1"/>
  <c r="H29" i="2" s="1"/>
  <c r="W43" i="2"/>
  <c r="I43" i="2" s="1"/>
  <c r="H43" i="2" s="1"/>
  <c r="W14" i="2" l="1"/>
  <c r="I14" i="2" s="1"/>
  <c r="H14" i="2" s="1"/>
  <c r="W15" i="2"/>
  <c r="I15" i="2" s="1"/>
  <c r="H15" i="2" s="1"/>
  <c r="W10" i="2"/>
  <c r="I10" i="2" s="1"/>
  <c r="H10" i="2" s="1"/>
  <c r="W11" i="2"/>
  <c r="I11" i="2" s="1"/>
  <c r="H11" i="2" s="1"/>
  <c r="W39" i="2"/>
  <c r="I39" i="2" s="1"/>
  <c r="H39" i="2" s="1"/>
  <c r="W37" i="2"/>
  <c r="I37" i="2" s="1"/>
  <c r="H37" i="2" s="1"/>
  <c r="W24" i="2"/>
  <c r="I24" i="2" s="1"/>
  <c r="H24" i="2" s="1"/>
  <c r="W27" i="2"/>
  <c r="I27" i="2" s="1"/>
  <c r="H27" i="2" s="1"/>
  <c r="W23" i="2"/>
  <c r="I23" i="2" s="1"/>
  <c r="H23" i="2" s="1"/>
  <c r="W25" i="2"/>
  <c r="I25" i="2" s="1"/>
  <c r="H25" i="2" s="1"/>
  <c r="W51" i="2"/>
  <c r="I51" i="2" s="1"/>
  <c r="H51" i="2" s="1"/>
  <c r="W34" i="2"/>
  <c r="I34" i="2" s="1"/>
  <c r="H34" i="2" s="1"/>
  <c r="W36" i="2"/>
  <c r="I36" i="2" s="1"/>
  <c r="H36" i="2" s="1"/>
  <c r="W26" i="2"/>
  <c r="I26" i="2" s="1"/>
  <c r="H26" i="2" s="1"/>
  <c r="W46" i="2"/>
  <c r="I46" i="2" s="1"/>
  <c r="H46" i="2" s="1"/>
  <c r="W38" i="2"/>
  <c r="I38" i="2" s="1"/>
  <c r="H38" i="2" s="1"/>
  <c r="W49" i="2"/>
  <c r="I49" i="2" s="1"/>
  <c r="H49" i="2" s="1"/>
  <c r="W50" i="2"/>
  <c r="I50" i="2" s="1"/>
  <c r="H50" i="2" s="1"/>
  <c r="N6" i="2" l="1"/>
  <c r="N12" i="2" s="1"/>
  <c r="X12" i="2" s="1"/>
  <c r="N7" i="2"/>
  <c r="N13" i="2" s="1"/>
  <c r="X13" i="2" s="1"/>
  <c r="N8" i="2"/>
  <c r="N14" i="2" s="1"/>
  <c r="X14" i="2" s="1"/>
  <c r="N9" i="2"/>
  <c r="N15" i="2" s="1"/>
  <c r="X15" i="2" s="1"/>
  <c r="N17" i="2" l="1"/>
  <c r="X17" i="2" s="1"/>
</calcChain>
</file>

<file path=xl/sharedStrings.xml><?xml version="1.0" encoding="utf-8"?>
<sst xmlns="http://schemas.openxmlformats.org/spreadsheetml/2006/main" count="149" uniqueCount="143">
  <si>
    <t>Inputs (editable assumptions)</t>
  </si>
  <si>
    <t>Base Salary</t>
  </si>
  <si>
    <t>Quarter Performance Multipliers (editable)</t>
  </si>
  <si>
    <t>Base_Annual_Salary_EUR</t>
  </si>
  <si>
    <t>Quarter Key</t>
  </si>
  <si>
    <t>Quarter</t>
  </si>
  <si>
    <t>Multiplier</t>
  </si>
  <si>
    <t>Raise_Pct_May2027</t>
  </si>
  <si>
    <t>Q3 2026</t>
  </si>
  <si>
    <t>Q3 2026 (May–Jul 2026)</t>
  </si>
  <si>
    <t>Raise_Pct_May2028</t>
  </si>
  <si>
    <t>Q4 2026</t>
  </si>
  <si>
    <t>Q4 2026 (Aug–Oct 2026)</t>
  </si>
  <si>
    <t>Raise_Pct_May2029</t>
  </si>
  <si>
    <t>Q1 2027</t>
  </si>
  <si>
    <t>Q1 2027 (Nov 2026–Jan 2027)</t>
  </si>
  <si>
    <t>Raise_Pct_May2030</t>
  </si>
  <si>
    <t>Q2 2027</t>
  </si>
  <si>
    <t>Q2 2027 (Feb–Apr 2027)</t>
  </si>
  <si>
    <t>Bonus</t>
  </si>
  <si>
    <t>Q3 2027</t>
  </si>
  <si>
    <t>Q3 2027 (May–Jul 2027)</t>
  </si>
  <si>
    <t>Bonus_Pct_P1 (Aug 2026–Apr 2027)</t>
  </si>
  <si>
    <t>Q4 2027</t>
  </si>
  <si>
    <t>Q4 2027 (Aug–Oct 2027)</t>
  </si>
  <si>
    <t>Bonus_Pct_P2 (May 2027–Apr 2028)</t>
  </si>
  <si>
    <t>Q1 2028</t>
  </si>
  <si>
    <t>Q1 2028 (Nov 2027–Jan 2028)</t>
  </si>
  <si>
    <t>Bonus_Pct_P3 (May 2028–Apr 2029)</t>
  </si>
  <si>
    <t>Q2 2028</t>
  </si>
  <si>
    <t>Q2 2028 (Feb–Apr 2028)</t>
  </si>
  <si>
    <t>Bonus_Pct_P4 (May 2029–Apr 2030)</t>
  </si>
  <si>
    <t>Q3 2028</t>
  </si>
  <si>
    <t>Q3 2028 (May–Jul 2028)</t>
  </si>
  <si>
    <t>Bonus_Pct_P5 (May 2030–Apr 2031)</t>
  </si>
  <si>
    <t>Q4 2028</t>
  </si>
  <si>
    <t>Q4 2028 (Aug–Oct 2028)</t>
  </si>
  <si>
    <t>RSUs</t>
  </si>
  <si>
    <t>Q1 2029</t>
  </si>
  <si>
    <t>Q1 2029 (Nov 2028–Jan 2029)</t>
  </si>
  <si>
    <t>RSU_Grant_Value_EUR</t>
  </si>
  <si>
    <t>Q2 2029</t>
  </si>
  <si>
    <t>Q2 2029 (Feb–Apr 2029)</t>
  </si>
  <si>
    <t>RSU_Grant_Date</t>
  </si>
  <si>
    <t>Q3 2029</t>
  </si>
  <si>
    <t>Q3 2029 (May–Jul 2029)</t>
  </si>
  <si>
    <t>ESPP</t>
  </si>
  <si>
    <t>Q4 2029</t>
  </si>
  <si>
    <t>Q4 2029 (Aug–Oct 2029)</t>
  </si>
  <si>
    <t>ESPP_Contrib_Pct</t>
  </si>
  <si>
    <t>Q1 2030</t>
  </si>
  <si>
    <t>Q1 2030 (Nov 2029–Jan 2030)</t>
  </si>
  <si>
    <t>ESPP_Discount</t>
  </si>
  <si>
    <t>Q2 2030</t>
  </si>
  <si>
    <t>Q2 2030 (Feb–Apr 2030)</t>
  </si>
  <si>
    <t>Q3 2030</t>
  </si>
  <si>
    <t>Q3 2030 (May–Jul 2030)</t>
  </si>
  <si>
    <t>Relocation_Net_LumpSum_EUR</t>
  </si>
  <si>
    <t>Q4 2030</t>
  </si>
  <si>
    <t>Q4 2030 (Aug–Oct 2030)</t>
  </si>
  <si>
    <t>Living_Expenses_EUR_Monthly_2026</t>
  </si>
  <si>
    <t>Living_Expenses_EUR_Monthly_2027</t>
  </si>
  <si>
    <t>Element</t>
  </si>
  <si>
    <t>Price</t>
  </si>
  <si>
    <t>Assumptions</t>
  </si>
  <si>
    <t>Living_Expenses_EUR_Monthly_2028</t>
  </si>
  <si>
    <t>Rent</t>
  </si>
  <si>
    <t>Living_Expenses_EUR_Monthly_2029</t>
  </si>
  <si>
    <t>Utilities (electricity/gas)</t>
  </si>
  <si>
    <t>Living_Expenses_EUR_Monthly_2030</t>
  </si>
  <si>
    <t>Home Internet</t>
  </si>
  <si>
    <t>EUR_to_USD</t>
  </si>
  <si>
    <t>Mobile Internet</t>
  </si>
  <si>
    <t>Groceries</t>
  </si>
  <si>
    <t>IRL_StdBand_Married_1Income</t>
  </si>
  <si>
    <t>Transportation</t>
  </si>
  <si>
    <t>IRL_StdRate</t>
  </si>
  <si>
    <t>Flight tickets to/from Egypt</t>
  </si>
  <si>
    <t>IRL_HighRate</t>
  </si>
  <si>
    <t>Eating out</t>
  </si>
  <si>
    <t>Assuming eating out twice per month</t>
  </si>
  <si>
    <t>IRL_PersonalTaxCredit</t>
  </si>
  <si>
    <t>Cafes</t>
  </si>
  <si>
    <t>Assuming going to a café twice per month</t>
  </si>
  <si>
    <t>IRL_EmployeeTaxCredit</t>
  </si>
  <si>
    <t>Entertainment</t>
  </si>
  <si>
    <t>IRL_PRSI_Employee_Rate</t>
  </si>
  <si>
    <t>Clothes</t>
  </si>
  <si>
    <t>USC_T1</t>
  </si>
  <si>
    <t>Haircuts</t>
  </si>
  <si>
    <t>Assuming cutting hair and beard every 3 weeks</t>
  </si>
  <si>
    <t>USC_T2</t>
  </si>
  <si>
    <t>Gym</t>
  </si>
  <si>
    <t>USC_T3</t>
  </si>
  <si>
    <t>Unexpected / Buffer</t>
  </si>
  <si>
    <t>USC_R1</t>
  </si>
  <si>
    <t>Total</t>
  </si>
  <si>
    <t>USC_R2</t>
  </si>
  <si>
    <t>USC_R3</t>
  </si>
  <si>
    <t>USC_R4</t>
  </si>
  <si>
    <t>Notes</t>
  </si>
  <si>
    <t>• Timeline is fixed: Aug 2026 – Dec 2030.</t>
  </si>
  <si>
    <t>• Raises are fixed in May each year: May 2027/2028/2029/2030 raise % variables apply from those months onward (compounded).</t>
  </si>
  <si>
    <t>• Bonus % is split into 5 periods: P1 Aug 2026–Apr 2027, P2 May 2027–Apr 2028, P3 May 2028–Apr 2029, P4 May 2029–Apr 2030, P5 May 2030–Dec 2030.</t>
  </si>
  <si>
    <t>• Quarter performance multipliers table extended through Q4 2030 (editable).</t>
  </si>
  <si>
    <t>Month</t>
  </si>
  <si>
    <t>Base Salary (EUR)</t>
  </si>
  <si>
    <t>Bonus Paid (EUR)</t>
  </si>
  <si>
    <t>RSU Vest (EUR)</t>
  </si>
  <si>
    <t>ESPP Deduction (EUR)</t>
  </si>
  <si>
    <t>ESPP Gross Profit (EUR)</t>
  </si>
  <si>
    <t>Total Taxable Monthly Income (EUR)</t>
  </si>
  <si>
    <t>Total Net Monthly Income (EUR)</t>
  </si>
  <si>
    <t>Ireland PAYE+USC+PRSI (EUR)</t>
  </si>
  <si>
    <t>Grant</t>
  </si>
  <si>
    <t>Vest Date</t>
  </si>
  <si>
    <t>Vest Value (EUR)</t>
  </si>
  <si>
    <t>Taxable Pay</t>
  </si>
  <si>
    <t>Tax Year</t>
  </si>
  <si>
    <t>Month #</t>
  </si>
  <si>
    <t>Cum Taxable</t>
  </si>
  <si>
    <t>Cum PAYE</t>
  </si>
  <si>
    <t>Cum USC</t>
  </si>
  <si>
    <t>Cum PRSI</t>
  </si>
  <si>
    <t>Cum Total Tax</t>
  </si>
  <si>
    <t>Tax This Month</t>
  </si>
  <si>
    <t>Existing RSU (USD→EUR)</t>
  </si>
  <si>
    <t>New Cork RSU</t>
  </si>
  <si>
    <t>Total Net in 2026</t>
  </si>
  <si>
    <t>Total Net in 2027</t>
  </si>
  <si>
    <t>Total Net in 2028</t>
  </si>
  <si>
    <t>Total Net in 2029</t>
  </si>
  <si>
    <t>Total Net in 2030</t>
  </si>
  <si>
    <t>Take-Home Estimate in 2026</t>
  </si>
  <si>
    <t>Take-Home Estimate in 2027</t>
  </si>
  <si>
    <t>Take-Home Estimate in 2028</t>
  </si>
  <si>
    <t>Take-Home Estimate in 2029</t>
  </si>
  <si>
    <t>Take-Home Estimate in 2030</t>
  </si>
  <si>
    <t>Total Take-Home Estimate in All Years</t>
  </si>
  <si>
    <t>Estimated living expenses in Dublin</t>
  </si>
  <si>
    <t>Renting near the office</t>
  </si>
  <si>
    <t>Working 3 days from office using bicycle .. Hanging out 6 days per month</t>
  </si>
  <si>
    <t>Assuming 2 round trips per year with one costing 350 per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</si>
</sst>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mmm\ d\,\ yyyy"/>
    <numFmt numFmtId="165" formatCode="mmm\ yyyy"/>
    <numFmt numFmtId="166" formatCode="&quot;$&quot;#,##0.00"/>
    <numFmt numFmtId="167" formatCode="\€#,##0.00"/>
    <numFmt numFmtId="168" formatCode="_([$€-2]\ * #,##0.00_);_([$€-2]\ * \(#,##0.00\);_([$€-2]\ * &quot;-&quot;??_);_(@_)"/>
    <numFmt numFmtId="169" formatCode="#,##0.000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1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D0D0D0"/>
      </right>
      <top style="thick">
        <color indexed="64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ck">
        <color indexed="64"/>
      </top>
      <bottom style="thin">
        <color rgb="FFD0D0D0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rgb="FFD0D0D0"/>
      </right>
      <top style="thin">
        <color rgb="FFD0D0D0"/>
      </top>
      <bottom style="thick">
        <color indexed="64"/>
      </bottom>
      <diagonal/>
    </border>
    <border>
      <left style="thick">
        <color indexed="64"/>
      </left>
      <right style="thin">
        <color rgb="FFD0D0D0"/>
      </right>
      <top/>
      <bottom style="thin">
        <color rgb="FFD0D0D0"/>
      </bottom>
      <diagonal/>
    </border>
    <border>
      <left style="thick">
        <color indexed="64"/>
      </left>
      <right style="thin">
        <color rgb="FFD0D0D0"/>
      </right>
      <top style="thin">
        <color rgb="FFD0D0D0"/>
      </top>
      <bottom/>
      <diagonal/>
    </border>
    <border>
      <left style="thick">
        <color indexed="64"/>
      </left>
      <right/>
      <top/>
      <bottom/>
      <diagonal/>
    </border>
  </borders>
  <cellStyleXfs count="3">
    <xf numFmtId="0" fontId="0" fillId="0" borderId="0"/>
    <xf numFmtId="9" fontId="5" fillId="0" borderId="0"/>
    <xf numFmtId="44" fontId="5" fillId="0" borderId="0"/>
  </cellStyleXfs>
  <cellXfs count="64">
    <xf numFmtId="0" fontId="0" fillId="0" borderId="0" xfId="0"/>
    <xf numFmtId="0" fontId="1" fillId="0" borderId="0" xfId="0" applyFont="1"/>
    <xf numFmtId="0" fontId="3" fillId="0" borderId="1" xfId="0" applyFont="1" applyBorder="1"/>
    <xf numFmtId="10" fontId="0" fillId="0" borderId="1" xfId="0" applyNumberFormat="1" applyBorder="1"/>
    <xf numFmtId="164" fontId="0" fillId="0" borderId="1" xfId="0" applyNumberFormat="1" applyBorder="1"/>
    <xf numFmtId="0" fontId="3" fillId="3" borderId="1" xfId="0" applyFont="1" applyFill="1" applyBorder="1"/>
    <xf numFmtId="0" fontId="0" fillId="0" borderId="1" xfId="0" applyBorder="1"/>
    <xf numFmtId="2" fontId="0" fillId="0" borderId="1" xfId="0" applyNumberFormat="1" applyBorder="1"/>
    <xf numFmtId="165" fontId="0" fillId="0" borderId="1" xfId="0" applyNumberFormat="1" applyBorder="1"/>
    <xf numFmtId="0" fontId="4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4" fontId="0" fillId="0" borderId="0" xfId="0" applyNumberFormat="1"/>
    <xf numFmtId="166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2" fontId="0" fillId="0" borderId="0" xfId="0" applyNumberFormat="1"/>
    <xf numFmtId="167" fontId="0" fillId="0" borderId="1" xfId="0" applyNumberFormat="1" applyBorder="1" applyAlignment="1">
      <alignment horizontal="right"/>
    </xf>
    <xf numFmtId="167" fontId="0" fillId="0" borderId="0" xfId="0" applyNumberFormat="1" applyAlignment="1">
      <alignment horizontal="center" vertical="center"/>
    </xf>
    <xf numFmtId="167" fontId="0" fillId="0" borderId="0" xfId="0" applyNumberFormat="1"/>
    <xf numFmtId="167" fontId="0" fillId="0" borderId="3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165" fontId="0" fillId="0" borderId="4" xfId="0" applyNumberFormat="1" applyBorder="1"/>
    <xf numFmtId="165" fontId="0" fillId="0" borderId="3" xfId="0" applyNumberFormat="1" applyBorder="1"/>
    <xf numFmtId="165" fontId="0" fillId="0" borderId="0" xfId="0" applyNumberFormat="1"/>
    <xf numFmtId="167" fontId="0" fillId="0" borderId="0" xfId="0" applyNumberFormat="1" applyAlignment="1">
      <alignment horizontal="right"/>
    </xf>
    <xf numFmtId="167" fontId="0" fillId="0" borderId="5" xfId="0" applyNumberFormat="1" applyBorder="1" applyAlignment="1">
      <alignment horizontal="right"/>
    </xf>
    <xf numFmtId="167" fontId="0" fillId="0" borderId="6" xfId="0" applyNumberFormat="1" applyBorder="1" applyAlignment="1">
      <alignment horizontal="center" vertic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 vertical="center"/>
    </xf>
    <xf numFmtId="0" fontId="3" fillId="3" borderId="9" xfId="0" applyFont="1" applyFill="1" applyBorder="1"/>
    <xf numFmtId="0" fontId="0" fillId="0" borderId="9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0" fillId="0" borderId="11" xfId="0" applyNumberFormat="1" applyBorder="1"/>
    <xf numFmtId="0" fontId="0" fillId="0" borderId="12" xfId="0" applyBorder="1"/>
    <xf numFmtId="165" fontId="0" fillId="0" borderId="13" xfId="0" applyNumberFormat="1" applyBorder="1"/>
    <xf numFmtId="165" fontId="0" fillId="0" borderId="14" xfId="0" applyNumberFormat="1" applyBorder="1"/>
    <xf numFmtId="165" fontId="0" fillId="0" borderId="15" xfId="0" applyNumberFormat="1" applyBorder="1"/>
    <xf numFmtId="165" fontId="0" fillId="0" borderId="16" xfId="0" applyNumberFormat="1" applyBorder="1"/>
    <xf numFmtId="165" fontId="0" fillId="0" borderId="6" xfId="0" applyNumberFormat="1" applyBorder="1"/>
    <xf numFmtId="167" fontId="0" fillId="0" borderId="6" xfId="0" applyNumberFormat="1" applyBorder="1" applyAlignment="1">
      <alignment horizontal="right"/>
    </xf>
    <xf numFmtId="165" fontId="0" fillId="0" borderId="5" xfId="0" applyNumberFormat="1" applyBorder="1"/>
    <xf numFmtId="9" fontId="5" fillId="0" borderId="0" xfId="1"/>
    <xf numFmtId="44" fontId="0" fillId="0" borderId="0" xfId="2" applyFont="1"/>
    <xf numFmtId="167" fontId="0" fillId="0" borderId="1" xfId="0" applyNumberFormat="1" applyBorder="1"/>
    <xf numFmtId="0" fontId="6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8" fontId="2" fillId="2" borderId="0" xfId="0" applyNumberFormat="1" applyFont="1" applyFill="1" applyAlignment="1">
      <alignment horizontal="center" vertical="center"/>
    </xf>
    <xf numFmtId="168" fontId="0" fillId="0" borderId="0" xfId="0" applyNumberFormat="1"/>
    <xf numFmtId="168" fontId="0" fillId="0" borderId="0" xfId="1" applyNumberFormat="1" applyFont="1"/>
    <xf numFmtId="168" fontId="0" fillId="0" borderId="1" xfId="0" applyNumberFormat="1" applyBorder="1"/>
    <xf numFmtId="44" fontId="0" fillId="0" borderId="0" xfId="0" applyNumberFormat="1"/>
    <xf numFmtId="44" fontId="5" fillId="0" borderId="0" xfId="2"/>
    <xf numFmtId="169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/>
    <xf numFmtId="0" fontId="2" fillId="4" borderId="0" xfId="0" applyFont="1" applyFill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zoomScale="108" zoomScaleNormal="130" workbookViewId="0">
      <selection activeCell="F31" sqref="F31"/>
    </sheetView>
  </sheetViews>
  <sheetFormatPr defaultRowHeight="14.4" x14ac:dyDescent="0.3"/>
  <cols>
    <col min="1" max="1" width="33.33203125" bestFit="1" customWidth="1"/>
    <col min="2" max="2" width="13" bestFit="1" customWidth="1"/>
    <col min="3" max="3" width="11.33203125" customWidth="1"/>
    <col min="4" max="4" width="12.33203125" customWidth="1"/>
    <col min="5" max="5" width="26.5546875" bestFit="1" customWidth="1"/>
    <col min="6" max="6" width="10.88671875" bestFit="1" customWidth="1"/>
    <col min="7" max="7" width="37.5546875" bestFit="1" customWidth="1"/>
    <col min="8" max="8" width="24.5546875" style="10" bestFit="1" customWidth="1"/>
    <col min="9" max="9" width="10.88671875" style="10" bestFit="1" customWidth="1"/>
    <col min="10" max="10" width="42.44140625" style="10" customWidth="1"/>
    <col min="12" max="12" width="23.88671875" bestFit="1" customWidth="1"/>
    <col min="13" max="13" width="11" bestFit="1" customWidth="1"/>
    <col min="14" max="14" width="51.6640625" customWidth="1"/>
  </cols>
  <sheetData>
    <row r="1" spans="1:7" ht="18" customHeight="1" x14ac:dyDescent="0.35">
      <c r="A1" s="1" t="s">
        <v>0</v>
      </c>
    </row>
    <row r="3" spans="1:7" ht="15.6" customHeight="1" x14ac:dyDescent="0.3">
      <c r="A3" s="12" t="s">
        <v>1</v>
      </c>
      <c r="B3" s="12"/>
      <c r="D3" s="14" t="s">
        <v>2</v>
      </c>
      <c r="E3" s="13"/>
      <c r="F3" s="13"/>
    </row>
    <row r="4" spans="1:7" x14ac:dyDescent="0.3">
      <c r="A4" s="2" t="s">
        <v>3</v>
      </c>
      <c r="B4" s="48">
        <v>58000</v>
      </c>
      <c r="D4" s="5" t="s">
        <v>4</v>
      </c>
      <c r="E4" s="5" t="s">
        <v>5</v>
      </c>
      <c r="F4" s="5" t="s">
        <v>6</v>
      </c>
    </row>
    <row r="5" spans="1:7" x14ac:dyDescent="0.3">
      <c r="A5" s="2" t="s">
        <v>7</v>
      </c>
      <c r="B5" s="3">
        <v>0</v>
      </c>
      <c r="D5" s="6" t="s">
        <v>8</v>
      </c>
      <c r="E5" s="6" t="s">
        <v>9</v>
      </c>
      <c r="F5" s="7">
        <v>2.5</v>
      </c>
      <c r="G5" s="7">
        <v>2.5</v>
      </c>
    </row>
    <row r="6" spans="1:7" x14ac:dyDescent="0.3">
      <c r="A6" s="2" t="s">
        <v>10</v>
      </c>
      <c r="B6" s="3">
        <v>0.06</v>
      </c>
      <c r="D6" s="6" t="s">
        <v>11</v>
      </c>
      <c r="E6" s="6" t="s">
        <v>12</v>
      </c>
      <c r="F6" s="7">
        <v>2.35</v>
      </c>
      <c r="G6" s="7">
        <v>2.35</v>
      </c>
    </row>
    <row r="7" spans="1:7" x14ac:dyDescent="0.3">
      <c r="A7" s="2" t="s">
        <v>13</v>
      </c>
      <c r="B7" s="3">
        <v>0.03</v>
      </c>
      <c r="D7" s="6" t="s">
        <v>14</v>
      </c>
      <c r="E7" s="6" t="s">
        <v>15</v>
      </c>
      <c r="F7" s="7">
        <v>2.1</v>
      </c>
      <c r="G7" s="7">
        <v>2.1</v>
      </c>
    </row>
    <row r="8" spans="1:7" x14ac:dyDescent="0.3">
      <c r="A8" s="2" t="s">
        <v>16</v>
      </c>
      <c r="B8" s="3">
        <v>0.03</v>
      </c>
      <c r="D8" s="6" t="s">
        <v>17</v>
      </c>
      <c r="E8" s="6" t="s">
        <v>18</v>
      </c>
      <c r="F8" s="7">
        <v>1.8</v>
      </c>
      <c r="G8" s="7">
        <v>1.8</v>
      </c>
    </row>
    <row r="9" spans="1:7" ht="15.6" customHeight="1" x14ac:dyDescent="0.3">
      <c r="A9" s="11" t="s">
        <v>19</v>
      </c>
      <c r="B9" s="12"/>
      <c r="D9" s="6" t="s">
        <v>20</v>
      </c>
      <c r="E9" s="6" t="s">
        <v>21</v>
      </c>
      <c r="F9" s="7">
        <v>1.4</v>
      </c>
      <c r="G9" s="7">
        <v>1.4</v>
      </c>
    </row>
    <row r="10" spans="1:7" x14ac:dyDescent="0.3">
      <c r="A10" s="2" t="s">
        <v>22</v>
      </c>
      <c r="B10" s="3">
        <v>0.06</v>
      </c>
      <c r="D10" s="6" t="s">
        <v>23</v>
      </c>
      <c r="E10" s="6" t="s">
        <v>24</v>
      </c>
      <c r="F10" s="7">
        <v>1</v>
      </c>
      <c r="G10" s="7">
        <v>1</v>
      </c>
    </row>
    <row r="11" spans="1:7" x14ac:dyDescent="0.3">
      <c r="A11" s="2" t="s">
        <v>25</v>
      </c>
      <c r="B11" s="3">
        <v>0.06</v>
      </c>
      <c r="D11" s="6" t="s">
        <v>26</v>
      </c>
      <c r="E11" s="6" t="s">
        <v>27</v>
      </c>
      <c r="F11" s="7">
        <v>0.5</v>
      </c>
      <c r="G11" s="7">
        <v>0.5</v>
      </c>
    </row>
    <row r="12" spans="1:7" x14ac:dyDescent="0.3">
      <c r="A12" s="2" t="s">
        <v>28</v>
      </c>
      <c r="B12" s="3">
        <v>0.1</v>
      </c>
      <c r="D12" s="6" t="s">
        <v>29</v>
      </c>
      <c r="E12" s="6" t="s">
        <v>30</v>
      </c>
      <c r="F12" s="7">
        <v>0</v>
      </c>
      <c r="G12" s="7">
        <v>0</v>
      </c>
    </row>
    <row r="13" spans="1:7" x14ac:dyDescent="0.3">
      <c r="A13" s="2" t="s">
        <v>31</v>
      </c>
      <c r="B13" s="3">
        <v>0.1</v>
      </c>
      <c r="D13" s="6" t="s">
        <v>32</v>
      </c>
      <c r="E13" s="6" t="s">
        <v>33</v>
      </c>
      <c r="F13" s="7">
        <v>0.55000000000000004</v>
      </c>
      <c r="G13" s="7">
        <v>0.55000000000000004</v>
      </c>
    </row>
    <row r="14" spans="1:7" x14ac:dyDescent="0.3">
      <c r="A14" s="2" t="s">
        <v>34</v>
      </c>
      <c r="B14" s="3">
        <v>0.1</v>
      </c>
      <c r="D14" s="6" t="s">
        <v>35</v>
      </c>
      <c r="E14" s="6" t="s">
        <v>36</v>
      </c>
      <c r="F14" s="7">
        <v>1.05</v>
      </c>
      <c r="G14" s="7">
        <v>1.05</v>
      </c>
    </row>
    <row r="15" spans="1:7" ht="15.6" customHeight="1" x14ac:dyDescent="0.3">
      <c r="A15" s="11" t="s">
        <v>37</v>
      </c>
      <c r="B15" s="12"/>
      <c r="D15" s="6" t="s">
        <v>38</v>
      </c>
      <c r="E15" s="6" t="s">
        <v>39</v>
      </c>
      <c r="F15" s="7">
        <v>1.5</v>
      </c>
      <c r="G15" s="7">
        <v>1.5</v>
      </c>
    </row>
    <row r="16" spans="1:7" x14ac:dyDescent="0.3">
      <c r="A16" s="2" t="s">
        <v>40</v>
      </c>
      <c r="B16" s="55">
        <v>9000</v>
      </c>
      <c r="D16" s="6" t="s">
        <v>41</v>
      </c>
      <c r="E16" s="6" t="s">
        <v>42</v>
      </c>
      <c r="F16" s="7">
        <v>1.9</v>
      </c>
      <c r="G16" s="7">
        <v>1.9</v>
      </c>
    </row>
    <row r="17" spans="1:7" x14ac:dyDescent="0.3">
      <c r="A17" s="2" t="s">
        <v>43</v>
      </c>
      <c r="B17" s="4">
        <v>46096</v>
      </c>
      <c r="D17" s="6" t="s">
        <v>44</v>
      </c>
      <c r="E17" s="6" t="s">
        <v>45</v>
      </c>
      <c r="F17" s="7">
        <v>2.25</v>
      </c>
      <c r="G17" s="7">
        <v>2.25</v>
      </c>
    </row>
    <row r="18" spans="1:7" ht="15.6" customHeight="1" x14ac:dyDescent="0.3">
      <c r="A18" s="11" t="s">
        <v>46</v>
      </c>
      <c r="B18" s="12"/>
      <c r="D18" s="6" t="s">
        <v>47</v>
      </c>
      <c r="E18" s="6" t="s">
        <v>48</v>
      </c>
      <c r="F18" s="7">
        <v>2.5</v>
      </c>
      <c r="G18" s="7">
        <v>2.5</v>
      </c>
    </row>
    <row r="19" spans="1:7" x14ac:dyDescent="0.3">
      <c r="A19" s="2" t="s">
        <v>49</v>
      </c>
      <c r="B19" s="3">
        <v>0.2</v>
      </c>
      <c r="D19" s="6" t="s">
        <v>50</v>
      </c>
      <c r="E19" s="6" t="s">
        <v>51</v>
      </c>
      <c r="F19" s="7">
        <v>2.65</v>
      </c>
      <c r="G19" s="7">
        <v>2.65</v>
      </c>
    </row>
    <row r="20" spans="1:7" x14ac:dyDescent="0.3">
      <c r="A20" s="2" t="s">
        <v>52</v>
      </c>
      <c r="B20" s="3">
        <v>0.2</v>
      </c>
      <c r="D20" s="6" t="s">
        <v>53</v>
      </c>
      <c r="E20" s="6" t="s">
        <v>54</v>
      </c>
      <c r="F20" s="7">
        <v>2.7</v>
      </c>
      <c r="G20" s="7">
        <v>2.7</v>
      </c>
    </row>
    <row r="21" spans="1:7" ht="15.6" customHeight="1" x14ac:dyDescent="0.3">
      <c r="D21" s="6" t="s">
        <v>55</v>
      </c>
      <c r="E21" s="6" t="s">
        <v>56</v>
      </c>
      <c r="F21" s="7">
        <v>2.65</v>
      </c>
      <c r="G21" s="7">
        <v>2.65</v>
      </c>
    </row>
    <row r="22" spans="1:7" ht="15.6" customHeight="1" x14ac:dyDescent="0.3">
      <c r="A22" s="11" t="s">
        <v>57</v>
      </c>
      <c r="B22" s="52">
        <f>10000-900-2400-200</f>
        <v>6500</v>
      </c>
      <c r="D22" s="6" t="s">
        <v>58</v>
      </c>
      <c r="E22" s="6" t="s">
        <v>59</v>
      </c>
      <c r="F22" s="7">
        <v>2.5</v>
      </c>
      <c r="G22" s="7">
        <v>2.5</v>
      </c>
    </row>
    <row r="23" spans="1:7" ht="18" customHeight="1" x14ac:dyDescent="0.3">
      <c r="A23" t="s">
        <v>60</v>
      </c>
      <c r="B23" s="53">
        <f>F44</f>
        <v>3026.6666666666665</v>
      </c>
      <c r="F23" s="18"/>
    </row>
    <row r="24" spans="1:7" x14ac:dyDescent="0.3">
      <c r="A24" t="s">
        <v>61</v>
      </c>
      <c r="B24" s="54">
        <f>Living_Expenses_EGP_Monthly_2026*1.026</f>
        <v>3105.36</v>
      </c>
      <c r="F24" s="18"/>
    </row>
    <row r="25" spans="1:7" x14ac:dyDescent="0.3">
      <c r="A25" t="s">
        <v>65</v>
      </c>
      <c r="B25" s="53">
        <f>Living_Expenses_EGP_Monthly_2027*1.02</f>
        <v>3167.4672</v>
      </c>
    </row>
    <row r="26" spans="1:7" x14ac:dyDescent="0.3">
      <c r="A26" t="s">
        <v>67</v>
      </c>
      <c r="B26" s="53">
        <f>Living_Expenses_EGP_Monthly_2028*1.02</f>
        <v>3230.8165440000002</v>
      </c>
    </row>
    <row r="27" spans="1:7" x14ac:dyDescent="0.3">
      <c r="A27" t="s">
        <v>69</v>
      </c>
      <c r="B27" s="53">
        <f>Living_Expenses_EGP_Monthly_2029*1.02</f>
        <v>3295.4328748800003</v>
      </c>
    </row>
    <row r="28" spans="1:7" ht="18" x14ac:dyDescent="0.3">
      <c r="A28" t="s">
        <v>71</v>
      </c>
      <c r="B28" s="15">
        <v>1.17</v>
      </c>
      <c r="E28" s="59" t="s">
        <v>139</v>
      </c>
      <c r="F28" s="60"/>
      <c r="G28" s="60"/>
    </row>
    <row r="29" spans="1:7" x14ac:dyDescent="0.3">
      <c r="E29" s="49" t="s">
        <v>62</v>
      </c>
      <c r="F29" s="49" t="s">
        <v>63</v>
      </c>
      <c r="G29" s="49" t="s">
        <v>64</v>
      </c>
    </row>
    <row r="30" spans="1:7" x14ac:dyDescent="0.3">
      <c r="A30" t="s">
        <v>74</v>
      </c>
      <c r="B30">
        <v>53000</v>
      </c>
      <c r="E30" s="10" t="s">
        <v>66</v>
      </c>
      <c r="F30" s="50">
        <v>2100</v>
      </c>
      <c r="G30" s="10" t="s">
        <v>140</v>
      </c>
    </row>
    <row r="31" spans="1:7" x14ac:dyDescent="0.3">
      <c r="A31" t="s">
        <v>76</v>
      </c>
      <c r="B31">
        <v>0.2</v>
      </c>
      <c r="E31" s="10" t="s">
        <v>68</v>
      </c>
      <c r="F31" s="50">
        <v>70</v>
      </c>
      <c r="G31" s="10"/>
    </row>
    <row r="32" spans="1:7" x14ac:dyDescent="0.3">
      <c r="A32" t="s">
        <v>78</v>
      </c>
      <c r="B32">
        <v>0.4</v>
      </c>
      <c r="E32" s="10" t="s">
        <v>70</v>
      </c>
      <c r="F32" s="50">
        <v>60</v>
      </c>
      <c r="G32" s="10"/>
    </row>
    <row r="33" spans="1:7" x14ac:dyDescent="0.3">
      <c r="A33" t="s">
        <v>81</v>
      </c>
      <c r="B33">
        <v>4000</v>
      </c>
      <c r="E33" s="10" t="s">
        <v>72</v>
      </c>
      <c r="F33" s="50">
        <v>25</v>
      </c>
      <c r="G33" s="10"/>
    </row>
    <row r="34" spans="1:7" x14ac:dyDescent="0.3">
      <c r="A34" t="s">
        <v>84</v>
      </c>
      <c r="B34">
        <v>2000</v>
      </c>
      <c r="E34" s="10" t="s">
        <v>73</v>
      </c>
      <c r="F34" s="50">
        <v>120</v>
      </c>
      <c r="G34" s="10"/>
    </row>
    <row r="35" spans="1:7" ht="28.8" x14ac:dyDescent="0.3">
      <c r="A35" t="s">
        <v>86</v>
      </c>
      <c r="B35">
        <v>4.3499999999999997E-2</v>
      </c>
      <c r="E35" s="10" t="s">
        <v>75</v>
      </c>
      <c r="F35" s="50">
        <v>100</v>
      </c>
      <c r="G35" s="51" t="s">
        <v>141</v>
      </c>
    </row>
    <row r="36" spans="1:7" ht="28.8" x14ac:dyDescent="0.3">
      <c r="A36" t="s">
        <v>88</v>
      </c>
      <c r="B36">
        <v>12012</v>
      </c>
      <c r="E36" s="10" t="s">
        <v>77</v>
      </c>
      <c r="F36" s="50">
        <f>350*2*2/12</f>
        <v>116.66666666666667</v>
      </c>
      <c r="G36" s="51" t="s">
        <v>142</v>
      </c>
    </row>
    <row r="37" spans="1:7" x14ac:dyDescent="0.3">
      <c r="A37" t="s">
        <v>91</v>
      </c>
      <c r="B37">
        <v>28700</v>
      </c>
      <c r="E37" s="10" t="s">
        <v>79</v>
      </c>
      <c r="F37" s="50">
        <v>100</v>
      </c>
      <c r="G37" s="10" t="s">
        <v>80</v>
      </c>
    </row>
    <row r="38" spans="1:7" x14ac:dyDescent="0.3">
      <c r="A38" t="s">
        <v>93</v>
      </c>
      <c r="B38">
        <v>70044</v>
      </c>
      <c r="E38" s="10" t="s">
        <v>82</v>
      </c>
      <c r="F38" s="50">
        <v>20</v>
      </c>
      <c r="G38" s="10" t="s">
        <v>83</v>
      </c>
    </row>
    <row r="39" spans="1:7" x14ac:dyDescent="0.3">
      <c r="A39" t="s">
        <v>95</v>
      </c>
      <c r="B39">
        <v>5.0000000000000001E-3</v>
      </c>
      <c r="E39" s="10" t="s">
        <v>85</v>
      </c>
      <c r="F39" s="50">
        <v>0</v>
      </c>
      <c r="G39" s="10"/>
    </row>
    <row r="40" spans="1:7" x14ac:dyDescent="0.3">
      <c r="A40" t="s">
        <v>97</v>
      </c>
      <c r="B40">
        <v>0.02</v>
      </c>
      <c r="E40" s="10" t="s">
        <v>87</v>
      </c>
      <c r="F40" s="50">
        <v>0</v>
      </c>
      <c r="G40" s="10"/>
    </row>
    <row r="41" spans="1:7" ht="28.8" x14ac:dyDescent="0.3">
      <c r="A41" t="s">
        <v>98</v>
      </c>
      <c r="B41">
        <v>0.03</v>
      </c>
      <c r="E41" s="10" t="s">
        <v>89</v>
      </c>
      <c r="F41" s="50">
        <v>45</v>
      </c>
      <c r="G41" s="51" t="s">
        <v>90</v>
      </c>
    </row>
    <row r="42" spans="1:7" x14ac:dyDescent="0.3">
      <c r="A42" t="s">
        <v>99</v>
      </c>
      <c r="B42">
        <v>0.08</v>
      </c>
      <c r="E42" s="10" t="s">
        <v>92</v>
      </c>
      <c r="F42" s="50">
        <v>120</v>
      </c>
      <c r="G42" s="10"/>
    </row>
    <row r="43" spans="1:7" x14ac:dyDescent="0.3">
      <c r="E43" s="10" t="s">
        <v>94</v>
      </c>
      <c r="F43" s="50">
        <v>150</v>
      </c>
      <c r="G43" s="10"/>
    </row>
    <row r="44" spans="1:7" x14ac:dyDescent="0.3">
      <c r="E44" s="10" t="s">
        <v>96</v>
      </c>
      <c r="F44" s="50">
        <f>SUM(F30:F43)</f>
        <v>3026.6666666666665</v>
      </c>
      <c r="G44" s="10"/>
    </row>
    <row r="48" spans="1:7" ht="15.6" customHeight="1" x14ac:dyDescent="0.3">
      <c r="A48" s="63" t="s">
        <v>100</v>
      </c>
      <c r="B48" s="62"/>
      <c r="C48" s="62"/>
    </row>
    <row r="49" spans="1:3" ht="14.4" customHeight="1" x14ac:dyDescent="0.3">
      <c r="A49" s="61" t="s">
        <v>101</v>
      </c>
      <c r="B49" s="62"/>
      <c r="C49" s="62"/>
    </row>
    <row r="50" spans="1:3" ht="14.4" customHeight="1" x14ac:dyDescent="0.3">
      <c r="A50" s="61" t="s">
        <v>102</v>
      </c>
      <c r="B50" s="62"/>
      <c r="C50" s="62"/>
    </row>
    <row r="51" spans="1:3" ht="14.4" customHeight="1" x14ac:dyDescent="0.3">
      <c r="A51" s="61" t="s">
        <v>103</v>
      </c>
      <c r="B51" s="62"/>
      <c r="C51" s="62"/>
    </row>
    <row r="52" spans="1:3" ht="14.4" customHeight="1" x14ac:dyDescent="0.3">
      <c r="A52" s="61" t="s">
        <v>104</v>
      </c>
      <c r="B52" s="62"/>
      <c r="C52" s="62"/>
    </row>
  </sheetData>
  <mergeCells count="6">
    <mergeCell ref="E28:G28"/>
    <mergeCell ref="A52:C52"/>
    <mergeCell ref="A49:C49"/>
    <mergeCell ref="A50:C50"/>
    <mergeCell ref="A48:C48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52"/>
  <sheetViews>
    <sheetView tabSelected="1" topLeftCell="H1" zoomScale="94" zoomScaleNormal="130" workbookViewId="0">
      <pane ySplit="1" topLeftCell="A2" activePane="bottomLeft" state="frozen"/>
      <selection pane="bottomLeft" activeCell="M25" sqref="M25"/>
    </sheetView>
  </sheetViews>
  <sheetFormatPr defaultRowHeight="14.4" x14ac:dyDescent="0.3"/>
  <cols>
    <col min="1" max="1" width="9.33203125" bestFit="1" customWidth="1"/>
    <col min="2" max="3" width="15.6640625" bestFit="1" customWidth="1"/>
    <col min="4" max="4" width="13.88671875" bestFit="1" customWidth="1"/>
    <col min="5" max="5" width="19.6640625" bestFit="1" customWidth="1"/>
    <col min="6" max="6" width="26.33203125" bestFit="1" customWidth="1"/>
    <col min="7" max="7" width="30.6640625" bestFit="1" customWidth="1"/>
    <col min="8" max="8" width="33.6640625" style="10" bestFit="1" customWidth="1"/>
    <col min="9" max="9" width="12.33203125" hidden="1" customWidth="1"/>
    <col min="10" max="10" width="14" hidden="1" customWidth="1"/>
    <col min="11" max="11" width="15.88671875" hidden="1" customWidth="1"/>
    <col min="12" max="12" width="21" hidden="1" customWidth="1"/>
    <col min="13" max="13" width="34.109375" style="10" bestFit="1" customWidth="1"/>
    <col min="14" max="14" width="25.109375" style="10" bestFit="1" customWidth="1"/>
    <col min="15" max="15" width="27.88671875" style="16" hidden="1" bestFit="1" customWidth="1"/>
    <col min="16" max="16" width="36" style="10" hidden="1" bestFit="1" customWidth="1"/>
    <col min="17" max="17" width="37.6640625" hidden="1" bestFit="1" customWidth="1"/>
    <col min="18" max="18" width="33.33203125" hidden="1" bestFit="1" customWidth="1"/>
    <col min="19" max="19" width="14" hidden="1" customWidth="1"/>
    <col min="20" max="20" width="12.44140625" hidden="1" customWidth="1"/>
    <col min="21" max="21" width="13.44140625" hidden="1" customWidth="1"/>
    <col min="22" max="22" width="15.5546875" hidden="1" customWidth="1"/>
    <col min="23" max="23" width="18.44140625" hidden="1" customWidth="1"/>
    <col min="24" max="24" width="12.6640625" bestFit="1" customWidth="1"/>
    <col min="25" max="25" width="11.33203125" bestFit="1" customWidth="1"/>
    <col min="26" max="26" width="10.6640625" bestFit="1" customWidth="1"/>
  </cols>
  <sheetData>
    <row r="1" spans="1:45" ht="15" customHeight="1" thickTop="1" x14ac:dyDescent="0.3">
      <c r="A1" s="30" t="s">
        <v>105</v>
      </c>
      <c r="B1" s="31" t="s">
        <v>106</v>
      </c>
      <c r="C1" s="31" t="s">
        <v>107</v>
      </c>
      <c r="D1" s="31" t="s">
        <v>108</v>
      </c>
      <c r="E1" s="31" t="s">
        <v>109</v>
      </c>
      <c r="F1" s="31" t="s">
        <v>110</v>
      </c>
      <c r="G1" s="31" t="s">
        <v>111</v>
      </c>
      <c r="H1" s="32" t="s">
        <v>112</v>
      </c>
      <c r="I1" s="33" t="s">
        <v>113</v>
      </c>
      <c r="J1" s="33" t="s">
        <v>114</v>
      </c>
      <c r="K1" s="33" t="s">
        <v>115</v>
      </c>
      <c r="L1" s="33" t="s">
        <v>116</v>
      </c>
      <c r="M1" s="34"/>
      <c r="N1" s="34"/>
      <c r="O1" s="35" t="s">
        <v>117</v>
      </c>
      <c r="P1" s="35" t="s">
        <v>118</v>
      </c>
      <c r="Q1" s="35" t="s">
        <v>119</v>
      </c>
      <c r="R1" s="35" t="s">
        <v>120</v>
      </c>
      <c r="S1" s="35" t="s">
        <v>121</v>
      </c>
      <c r="T1" s="35" t="s">
        <v>122</v>
      </c>
      <c r="U1" s="35" t="s">
        <v>123</v>
      </c>
      <c r="V1" s="35" t="s">
        <v>124</v>
      </c>
      <c r="W1" s="35" t="s">
        <v>125</v>
      </c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6"/>
    </row>
    <row r="2" spans="1:45" x14ac:dyDescent="0.3">
      <c r="A2" s="37">
        <v>46327</v>
      </c>
      <c r="B2" s="19">
        <f t="shared" ref="B2:B33" si="0">IF($A2&gt;=DATE(2030,5,1),Base_Annual_Salary*(1+Raise_Pct_May2027)*(1+Raise_Pct_May2028)*(1+Raise_Pct_May2029)*(1+Raise_Pct_May2030)/12,IF($A2&gt;=DATE(2029,5,1),Base_Annual_Salary*(1+Raise_Pct_May2027)*(1+Raise_Pct_May2028)*(1+Raise_Pct_May2029)/12,IF($A2&gt;=DATE(2028,5,1),Base_Annual_Salary*(1+Raise_Pct_May2027)*(1+Raise_Pct_May2028)/12,IF($A2&gt;=DATE(2027,5,1),Base_Annual_Salary*(1+Raise_Pct_May2027)/12,Base_Annual_Salary/12))))</f>
        <v>4833.333333333333</v>
      </c>
      <c r="C2" s="19">
        <f>IF(MONTH($A2)=6,IFERROR(3*(INDEX(QuarterMult_Range, MATCH("Q1 "&amp;YEAR($A2), QuarterKey_Range, 0))*IF(DATE(YEAR($A2)-1,11,1)&gt;=DATE(2030,5,1),Base_Annual_Salary*(1+Raise_Pct_May2027)*(1+Raise_Pct_May2028)*(1+Raise_Pct_May2029)*(1+Raise_Pct_May2030)/12,IF(DATE(YEAR($A2)-1,11,1)&gt;=DATE(2029,5,1),Base_Annual_Salary*(1+Raise_Pct_May2027)*(1+Raise_Pct_May2028)*(1+Raise_Pct_May2029)/12,IF(DATE(YEAR($A2)-1,11,1)&gt;=DATE(2028,5,1),Base_Annual_Salary*(1+Raise_Pct_May2027)*(1+Raise_Pct_May2028)/12,IF(DATE(YEAR($A2)-1,11,1)&gt;=DATE(2027,5,1),Base_Annual_Salary*(1+Raise_Pct_May2027)/12,Base_Annual_Salary/12))))*IF(DATE(YEAR($A2)-1,11,1)&gt;=DATE(2030,5,1),Bonus_Pct_P5,IF(DATE(YEAR($A2)-1,11,1)&gt;=DATE(2029,5,1),Bonus_Pct_P4,IF(DATE(YEAR($A2)-1,11,1)&gt;=DATE(2028,5,1),Bonus_Pct_P3,IF(DATE(YEAR($A2)-1,11,1)&gt;=DATE(2027,5,1),Bonus_Pct_P2,Bonus_Pct_P1))))+INDEX(QuarterMult_Range, MATCH("Q2 "&amp;YEAR($A2), QuarterKey_Range, 0))*IF(DATE(YEAR($A2),2,1)&gt;=DATE(2030,5,1),Base_Annual_Salary*(1+Raise_Pct_May2027)*(1+Raise_Pct_May2028)*(1+Raise_Pct_May2029)*(1+Raise_Pct_May2030)/12,IF(DATE(YEAR($A2),2,1)&gt;=DATE(2029,5,1),Base_Annual_Salary*(1+Raise_Pct_May2027)*(1+Raise_Pct_May2028)*(1+Raise_Pct_May2029)/12,IF(DATE(YEAR($A2),2,1)&gt;=DATE(2028,5,1),Base_Annual_Salary*(1+Raise_Pct_May2027)*(1+Raise_Pct_May2028)/12,IF(DATE(YEAR($A2),2,1)&gt;=DATE(2027,5,1),Base_Annual_Salary*(1+Raise_Pct_May2027)/12,Base_Annual_Salary/12))))*IF(DATE(YEAR($A2),2,1)&gt;=DATE(2030,5,1),Bonus_Pct_P5,IF(DATE(YEAR($A2),2,1)&gt;=DATE(2029,5,1),Bonus_Pct_P4,IF(DATE(YEAR($A2),2,1)&gt;=DATE(2028,5,1),Bonus_Pct_P3,IF(DATE(YEAR($A2),2,1)&gt;=DATE(2027,5,1),Bonus_Pct_P2,Bonus_Pct_P1))))),0),IF(MONTH($A2)=12,IFERROR(3*(INDEX(QuarterMult_Range, MATCH("Q3 "&amp;YEAR($A2), QuarterKey_Range, 0))*IF(DATE(YEAR($A2),5,1)&gt;=DATE(2030,5,1),Base_Annual_Salary*(1+Raise_Pct_May2027)*(1+Raise_Pct_May2028)*(1+Raise_Pct_May2029)*(1+Raise_Pct_May2030)/12,IF(DATE(YEAR($A2),5,1)&gt;=DATE(2029,5,1),Base_Annual_Salary*(1+Raise_Pct_May2027)*(1+Raise_Pct_May2028)*(1+Raise_Pct_May2029)/12,IF(DATE(YEAR($A2),5,1)&gt;=DATE(2028,5,1),Base_Annual_Salary*(1+Raise_Pct_May2027)*(1+Raise_Pct_May2028)/12,IF(DATE(YEAR($A2),5,1)&gt;=DATE(2027,5,1),Base_Annual_Salary*(1+Raise_Pct_May2027)/12,Base_Annual_Salary/12))))*IF(DATE(YEAR($A2),5,1)&gt;=DATE(2030,5,1),Bonus_Pct_P5,IF(DATE(YEAR($A2),5,1)&gt;=DATE(2029,5,1),Bonus_Pct_P4,IF(DATE(YEAR($A2),5,1)&gt;=DATE(2028,5,1),Bonus_Pct_P3,IF(DATE(YEAR($A2),5,1)&gt;=DATE(2027,5,1),Bonus_Pct_P2,Bonus_Pct_P1))))+INDEX(QuarterMult_Range, MATCH("Q4 "&amp;YEAR($A2), QuarterKey_Range, 0))*IF(DATE(YEAR($A2),8,1)&gt;=DATE(2030,5,1),Base_Annual_Salary*(1+Raise_Pct_May2027)*(1+Raise_Pct_May2028)*(1+Raise_Pct_May2029)*(1+Raise_Pct_May2030)/12,IF(DATE(YEAR($A2),8,1)&gt;=DATE(2029,5,1),Base_Annual_Salary*(1+Raise_Pct_May2027)*(1+Raise_Pct_May2028)*(1+Raise_Pct_May2029)/12,IF(DATE(YEAR($A2),8,1)&gt;=DATE(2028,5,1),Base_Annual_Salary*(1+Raise_Pct_May2027)*(1+Raise_Pct_May2028)/12,IF(DATE(YEAR($A2),8,1)&gt;=DATE(2027,5,1),Base_Annual_Salary*(1+Raise_Pct_May2027)/12,Base_Annual_Salary/12))))*IF(DATE(YEAR($A2),8,1)&gt;=DATE(2030,5,1),Bonus_Pct_P5,IF(DATE(YEAR($A2),8,1)&gt;=DATE(2029,5,1),Bonus_Pct_P4,IF(DATE(YEAR($A2),8,1)&gt;=DATE(2028,5,1),Bonus_Pct_P3,IF(DATE(YEAR($A2),8,1)&gt;=DATE(2027,5,1),Bonus_Pct_P2,Bonus_Pct_P1))))),0),0))</f>
        <v>0</v>
      </c>
      <c r="D2" s="19">
        <f t="shared" ref="D2:D33" si="1">SUMIFS($L$2:$L$9,$K$2:$K$9,"&gt;="&amp;$A2,$K$2:$K$9,"&lt;"&amp;EDATE($A2,1))</f>
        <v>0</v>
      </c>
      <c r="E2" s="19">
        <v>0</v>
      </c>
      <c r="F2" s="19">
        <f>(IF(AND(YEAR($A2)=2026,MONTH($A2)=12),(-SUMIFS($E$2:$E$51,$A$2:$A$51,"&gt;="&amp;DATE(2026,11,1),$A$2:$A$51,"&lt;="&amp;DATE(2026,12,1)))/(1-ESPP_Discount),IF(MONTH($A2)=12,(-SUMIFS($E$2:$E$51,$A$2:$A$51,"&gt;="&amp;DATE(YEAR($A2),6,1),$A$2:$A$51,"&lt;="&amp;DATE(YEAR($A2),11,1)))/(1-ESPP_Discount),IF(MONTH($A2)=6,(-SUMIFS($E$2:$E$51,$A$2:$A$51,"&gt;="&amp;DATE(YEAR($A2)-1,12,1),$A$2:$A$51,"&lt;="&amp;DATE(YEAR($A2),5,1)))/(1-ESPP_Discount),0))))*ESPP_Discount</f>
        <v>0</v>
      </c>
      <c r="G2" s="19">
        <f t="shared" ref="G2:G33" si="2">SUM(B2,C2,D2,F2)</f>
        <v>4833.333333333333</v>
      </c>
      <c r="H2" s="20">
        <f t="shared" ref="H2:H33" si="3">G2-I2+E2+IF($A2=DATE(2026,11,1),Relocation_Net,0)+IF(AND(YEAR($A2)=2026,MONTH($A2)=12),2280/EUR_to_USD+ABS($E$2),IF(MONTH($A2)=12,-SUMIFS($E$2:$E$51,$A$2:$A$51,"&gt;="&amp;DATE(YEAR($A2),6,1),$A$2:$A$51,"&lt;="&amp;DATE(YEAR($A2),11,1)),IF(MONTH($A2)=6,-SUMIFS($E$2:$E$51,$A$2:$A$51,"&gt;="&amp;DATE(YEAR($A2)-1,12,1),$A$2:$A$51,"&lt;="&amp;DATE(YEAR($A2),5,1)),0)))</f>
        <v>10467.014999999999</v>
      </c>
      <c r="I2" s="21">
        <f t="shared" ref="I2:I33" si="4">$W2</f>
        <v>866.31833333333338</v>
      </c>
      <c r="J2" t="s">
        <v>126</v>
      </c>
      <c r="K2" s="26">
        <v>46447</v>
      </c>
      <c r="L2" s="21">
        <v>886.75213675213683</v>
      </c>
      <c r="O2">
        <f t="shared" ref="O2:O33" si="5">G2</f>
        <v>4833.333333333333</v>
      </c>
      <c r="P2">
        <f t="shared" ref="P2:P33" si="6">YEAR($A2)</f>
        <v>2026</v>
      </c>
      <c r="Q2">
        <f>COUNTIFS($A$2:$A2,"&gt;="&amp;DATE(YEAR($A2),1,1),$A$2:$A2,"&lt;="&amp;$A2)</f>
        <v>1</v>
      </c>
      <c r="R2">
        <f>SUMIFS($O$2:$O2,$P$2:$P2,$P2)</f>
        <v>4833.333333333333</v>
      </c>
      <c r="S2">
        <f t="shared" ref="S2:S33" si="7">MAX(0,IRL_StdRate*MIN($R2,IRL_StdBand*$Q2/12)+IRL_HighRate*MAX(0,$R2-IRL_StdBand*$Q2/12)-(IRL_PersonalCredit+IRL_EmployeeCredit)*$Q2/12)</f>
        <v>550</v>
      </c>
      <c r="T2">
        <f t="shared" ref="T2:T33" si="8">USC_R1*MIN($R2,USC_T1*$Q2/12)+USC_R2*MAX(0,MIN($R2,USC_T2*$Q2/12)-USC_T1*$Q2/12)+USC_R3*MAX(0,MIN($R2,USC_T3*$Q2/12)-USC_T2*$Q2/12)+USC_R4*MAX(0,$R2-USC_T3*$Q2/12)</f>
        <v>106.06833333333333</v>
      </c>
      <c r="U2">
        <f t="shared" ref="U2:U33" si="9">IRL_PRSI_Rate*$R2</f>
        <v>210.24999999999997</v>
      </c>
      <c r="V2">
        <f t="shared" ref="V2:V33" si="10">$S2+$T2+$U2</f>
        <v>866.31833333333338</v>
      </c>
      <c r="W2">
        <f>$V2</f>
        <v>866.31833333333338</v>
      </c>
      <c r="AS2" s="38"/>
    </row>
    <row r="3" spans="1:45" ht="15" customHeight="1" thickBot="1" x14ac:dyDescent="0.35">
      <c r="A3" s="39">
        <v>46357</v>
      </c>
      <c r="B3" s="28">
        <f t="shared" si="0"/>
        <v>4833.333333333333</v>
      </c>
      <c r="C3" s="28">
        <v>0</v>
      </c>
      <c r="D3" s="28">
        <f t="shared" si="1"/>
        <v>0</v>
      </c>
      <c r="E3" s="28">
        <v>0</v>
      </c>
      <c r="F3" s="28">
        <f>(ROUNDDOWN((2280/EUR_to_USD+ABS(E2))/(1-ESPP_Discount),0))*ESPP_Discount</f>
        <v>487</v>
      </c>
      <c r="G3" s="28">
        <f t="shared" si="2"/>
        <v>5320.333333333333</v>
      </c>
      <c r="H3" s="29">
        <f t="shared" si="3"/>
        <v>6172.1384487179494</v>
      </c>
      <c r="I3" s="21">
        <f t="shared" si="4"/>
        <v>1096.9128333333331</v>
      </c>
      <c r="J3" t="s">
        <v>127</v>
      </c>
      <c r="K3" s="26">
        <v>46692</v>
      </c>
      <c r="L3" s="21">
        <f>RSU_Grant_Value_EUR/4</f>
        <v>2250</v>
      </c>
      <c r="O3">
        <f t="shared" si="5"/>
        <v>5320.333333333333</v>
      </c>
      <c r="P3">
        <f t="shared" si="6"/>
        <v>2026</v>
      </c>
      <c r="Q3">
        <f>COUNTIFS($A$2:$A3,"&gt;="&amp;DATE(YEAR($A3),1,1),$A$2:$A3,"&lt;="&amp;$A3)</f>
        <v>2</v>
      </c>
      <c r="R3">
        <f>SUMIFS($O$2:$O3,$P$2:$P3,$P3)</f>
        <v>10153.666666666666</v>
      </c>
      <c r="S3">
        <f t="shared" si="7"/>
        <v>1294.7999999999997</v>
      </c>
      <c r="T3">
        <f t="shared" si="8"/>
        <v>226.74666666666667</v>
      </c>
      <c r="U3">
        <f t="shared" si="9"/>
        <v>441.68449999999996</v>
      </c>
      <c r="V3">
        <f t="shared" si="10"/>
        <v>1963.2311666666665</v>
      </c>
      <c r="W3">
        <f t="shared" ref="W3:W34" si="11">$V3-IF($P3=$P2,$V2,0)</f>
        <v>1096.9128333333331</v>
      </c>
      <c r="AS3" s="38"/>
    </row>
    <row r="4" spans="1:45" ht="15" customHeight="1" thickTop="1" x14ac:dyDescent="0.3">
      <c r="A4" s="40">
        <v>46388</v>
      </c>
      <c r="B4" s="22">
        <f t="shared" si="0"/>
        <v>4833.333333333333</v>
      </c>
      <c r="C4" s="22">
        <f t="shared" ref="C4:C51" si="12">IF(MONTH($A4)=6,IFERROR(3*(INDEX(QuarterMult_Range, MATCH("Q1 "&amp;YEAR($A4), QuarterKey_Range, 0))*IF(DATE(YEAR($A4)-1,11,1)&gt;=DATE(2030,5,1),Base_Annual_Salary*(1+Raise_Pct_May2027)*(1+Raise_Pct_May2028)*(1+Raise_Pct_May2029)*(1+Raise_Pct_May2030)/12,IF(DATE(YEAR($A4)-1,11,1)&gt;=DATE(2029,5,1),Base_Annual_Salary*(1+Raise_Pct_May2027)*(1+Raise_Pct_May2028)*(1+Raise_Pct_May2029)/12,IF(DATE(YEAR($A4)-1,11,1)&gt;=DATE(2028,5,1),Base_Annual_Salary*(1+Raise_Pct_May2027)*(1+Raise_Pct_May2028)/12,IF(DATE(YEAR($A4)-1,11,1)&gt;=DATE(2027,5,1),Base_Annual_Salary*(1+Raise_Pct_May2027)/12,Base_Annual_Salary/12))))*IF(DATE(YEAR($A4)-1,11,1)&gt;=DATE(2030,5,1),Bonus_Pct_P5,IF(DATE(YEAR($A4)-1,11,1)&gt;=DATE(2029,5,1),Bonus_Pct_P4,IF(DATE(YEAR($A4)-1,11,1)&gt;=DATE(2028,5,1),Bonus_Pct_P3,IF(DATE(YEAR($A4)-1,11,1)&gt;=DATE(2027,5,1),Bonus_Pct_P2,Bonus_Pct_P1))))+INDEX(QuarterMult_Range, MATCH("Q2 "&amp;YEAR($A4), QuarterKey_Range, 0))*IF(DATE(YEAR($A4),2,1)&gt;=DATE(2030,5,1),Base_Annual_Salary*(1+Raise_Pct_May2027)*(1+Raise_Pct_May2028)*(1+Raise_Pct_May2029)*(1+Raise_Pct_May2030)/12,IF(DATE(YEAR($A4),2,1)&gt;=DATE(2029,5,1),Base_Annual_Salary*(1+Raise_Pct_May2027)*(1+Raise_Pct_May2028)*(1+Raise_Pct_May2029)/12,IF(DATE(YEAR($A4),2,1)&gt;=DATE(2028,5,1),Base_Annual_Salary*(1+Raise_Pct_May2027)*(1+Raise_Pct_May2028)/12,IF(DATE(YEAR($A4),2,1)&gt;=DATE(2027,5,1),Base_Annual_Salary*(1+Raise_Pct_May2027)/12,Base_Annual_Salary/12))))*IF(DATE(YEAR($A4),2,1)&gt;=DATE(2030,5,1),Bonus_Pct_P5,IF(DATE(YEAR($A4),2,1)&gt;=DATE(2029,5,1),Bonus_Pct_P4,IF(DATE(YEAR($A4),2,1)&gt;=DATE(2028,5,1),Bonus_Pct_P3,IF(DATE(YEAR($A4),2,1)&gt;=DATE(2027,5,1),Bonus_Pct_P2,Bonus_Pct_P1))))),0),IF(MONTH($A4)=12,IFERROR(3*(INDEX(QuarterMult_Range, MATCH("Q3 "&amp;YEAR($A4), QuarterKey_Range, 0))*IF(DATE(YEAR($A4),5,1)&gt;=DATE(2030,5,1),Base_Annual_Salary*(1+Raise_Pct_May2027)*(1+Raise_Pct_May2028)*(1+Raise_Pct_May2029)*(1+Raise_Pct_May2030)/12,IF(DATE(YEAR($A4),5,1)&gt;=DATE(2029,5,1),Base_Annual_Salary*(1+Raise_Pct_May2027)*(1+Raise_Pct_May2028)*(1+Raise_Pct_May2029)/12,IF(DATE(YEAR($A4),5,1)&gt;=DATE(2028,5,1),Base_Annual_Salary*(1+Raise_Pct_May2027)*(1+Raise_Pct_May2028)/12,IF(DATE(YEAR($A4),5,1)&gt;=DATE(2027,5,1),Base_Annual_Salary*(1+Raise_Pct_May2027)/12,Base_Annual_Salary/12))))*IF(DATE(YEAR($A4),5,1)&gt;=DATE(2030,5,1),Bonus_Pct_P5,IF(DATE(YEAR($A4),5,1)&gt;=DATE(2029,5,1),Bonus_Pct_P4,IF(DATE(YEAR($A4),5,1)&gt;=DATE(2028,5,1),Bonus_Pct_P3,IF(DATE(YEAR($A4),5,1)&gt;=DATE(2027,5,1),Bonus_Pct_P2,Bonus_Pct_P1))))+INDEX(QuarterMult_Range, MATCH("Q4 "&amp;YEAR($A4), QuarterKey_Range, 0))*IF(DATE(YEAR($A4),8,1)&gt;=DATE(2030,5,1),Base_Annual_Salary*(1+Raise_Pct_May2027)*(1+Raise_Pct_May2028)*(1+Raise_Pct_May2029)*(1+Raise_Pct_May2030)/12,IF(DATE(YEAR($A4),8,1)&gt;=DATE(2029,5,1),Base_Annual_Salary*(1+Raise_Pct_May2027)*(1+Raise_Pct_May2028)*(1+Raise_Pct_May2029)/12,IF(DATE(YEAR($A4),8,1)&gt;=DATE(2028,5,1),Base_Annual_Salary*(1+Raise_Pct_May2027)*(1+Raise_Pct_May2028)/12,IF(DATE(YEAR($A4),8,1)&gt;=DATE(2027,5,1),Base_Annual_Salary*(1+Raise_Pct_May2027)/12,Base_Annual_Salary/12))))*IF(DATE(YEAR($A4),8,1)&gt;=DATE(2030,5,1),Bonus_Pct_P5,IF(DATE(YEAR($A4),8,1)&gt;=DATE(2029,5,1),Bonus_Pct_P4,IF(DATE(YEAR($A4),8,1)&gt;=DATE(2028,5,1),Bonus_Pct_P3,IF(DATE(YEAR($A4),8,1)&gt;=DATE(2027,5,1),Bonus_Pct_P2,Bonus_Pct_P1))))),0),0))</f>
        <v>0</v>
      </c>
      <c r="D4" s="22">
        <f t="shared" si="1"/>
        <v>0</v>
      </c>
      <c r="E4" s="22">
        <v>0</v>
      </c>
      <c r="F4" s="22">
        <f t="shared" ref="F4:F51" si="13">(IF(AND(YEAR($A4)=2026,MONTH($A4)=12),(-SUMIFS($E$2:$E$51,$A$2:$A$51,"&gt;="&amp;DATE(2026,11,1),$A$2:$A$51,"&lt;="&amp;DATE(2026,12,1)))/(1-ESPP_Discount),IF(MONTH($A4)=12,(-SUMIFS($E$2:$E$51,$A$2:$A$51,"&gt;="&amp;DATE(YEAR($A4),6,1),$A$2:$A$51,"&lt;="&amp;DATE(YEAR($A4),11,1)))/(1-ESPP_Discount),IF(MONTH($A4)=6,(-SUMIFS($E$2:$E$51,$A$2:$A$51,"&gt;="&amp;DATE(YEAR($A4)-1,12,1),$A$2:$A$51,"&lt;="&amp;DATE(YEAR($A4),5,1)))/(1-ESPP_Discount),0))))*ESPP_Discount</f>
        <v>0</v>
      </c>
      <c r="G4" s="22">
        <f t="shared" si="2"/>
        <v>4833.333333333333</v>
      </c>
      <c r="H4" s="20">
        <f t="shared" si="3"/>
        <v>3967.0149999999994</v>
      </c>
      <c r="I4" s="21">
        <f t="shared" si="4"/>
        <v>866.31833333333338</v>
      </c>
      <c r="J4" t="s">
        <v>126</v>
      </c>
      <c r="K4" s="26">
        <v>46813</v>
      </c>
      <c r="L4" s="21">
        <v>886.75213675213683</v>
      </c>
      <c r="O4">
        <f t="shared" si="5"/>
        <v>4833.333333333333</v>
      </c>
      <c r="P4">
        <f t="shared" si="6"/>
        <v>2027</v>
      </c>
      <c r="Q4">
        <f>COUNTIFS($A$2:$A4,"&gt;="&amp;DATE(YEAR($A4),1,1),$A$2:$A4,"&lt;="&amp;$A4)</f>
        <v>1</v>
      </c>
      <c r="R4">
        <f>SUMIFS($O$2:$O4,$P$2:$P4,$P4)</f>
        <v>4833.333333333333</v>
      </c>
      <c r="S4">
        <f t="shared" si="7"/>
        <v>550</v>
      </c>
      <c r="T4">
        <f t="shared" si="8"/>
        <v>106.06833333333333</v>
      </c>
      <c r="U4">
        <f t="shared" si="9"/>
        <v>210.24999999999997</v>
      </c>
      <c r="V4">
        <f t="shared" si="10"/>
        <v>866.31833333333338</v>
      </c>
      <c r="W4">
        <f t="shared" si="11"/>
        <v>866.31833333333338</v>
      </c>
      <c r="AS4" s="38"/>
    </row>
    <row r="5" spans="1:45" x14ac:dyDescent="0.3">
      <c r="A5" s="37">
        <v>46419</v>
      </c>
      <c r="B5" s="19">
        <f t="shared" si="0"/>
        <v>4833.333333333333</v>
      </c>
      <c r="C5" s="19">
        <f t="shared" si="12"/>
        <v>0</v>
      </c>
      <c r="D5" s="19">
        <f t="shared" si="1"/>
        <v>0</v>
      </c>
      <c r="E5" s="19">
        <v>0</v>
      </c>
      <c r="F5" s="19">
        <f t="shared" si="13"/>
        <v>0</v>
      </c>
      <c r="G5" s="19">
        <f t="shared" si="2"/>
        <v>4833.333333333333</v>
      </c>
      <c r="H5" s="20">
        <f t="shared" si="3"/>
        <v>3967.0149999999994</v>
      </c>
      <c r="I5" s="21">
        <f t="shared" si="4"/>
        <v>866.31833333333338</v>
      </c>
      <c r="J5" t="s">
        <v>127</v>
      </c>
      <c r="K5" s="26">
        <v>47058</v>
      </c>
      <c r="L5" s="21">
        <f>RSU_Grant_Value_EUR/4</f>
        <v>2250</v>
      </c>
      <c r="M5" s="9" t="s">
        <v>128</v>
      </c>
      <c r="N5" s="20">
        <f>SUM(H2:H3)</f>
        <v>16639.153448717949</v>
      </c>
      <c r="O5">
        <f t="shared" si="5"/>
        <v>4833.333333333333</v>
      </c>
      <c r="P5">
        <f t="shared" si="6"/>
        <v>2027</v>
      </c>
      <c r="Q5">
        <f>COUNTIFS($A$2:$A5,"&gt;="&amp;DATE(YEAR($A5),1,1),$A$2:$A5,"&lt;="&amp;$A5)</f>
        <v>2</v>
      </c>
      <c r="R5">
        <f>SUMIFS($O$2:$O5,$P$2:$P5,$P5)</f>
        <v>9666.6666666666661</v>
      </c>
      <c r="S5">
        <f t="shared" si="7"/>
        <v>1100</v>
      </c>
      <c r="T5">
        <f t="shared" si="8"/>
        <v>212.13666666666666</v>
      </c>
      <c r="U5">
        <f t="shared" si="9"/>
        <v>420.49999999999994</v>
      </c>
      <c r="V5">
        <f t="shared" si="10"/>
        <v>1732.6366666666668</v>
      </c>
      <c r="W5">
        <f t="shared" si="11"/>
        <v>866.31833333333338</v>
      </c>
      <c r="AS5" s="38"/>
    </row>
    <row r="6" spans="1:45" x14ac:dyDescent="0.3">
      <c r="A6" s="41">
        <v>46447</v>
      </c>
      <c r="B6" s="23">
        <f t="shared" si="0"/>
        <v>4833.333333333333</v>
      </c>
      <c r="C6" s="23">
        <f t="shared" si="12"/>
        <v>0</v>
      </c>
      <c r="D6" s="23">
        <f t="shared" si="1"/>
        <v>886.75213675213683</v>
      </c>
      <c r="E6" s="23">
        <v>0</v>
      </c>
      <c r="F6" s="23">
        <f t="shared" si="13"/>
        <v>0</v>
      </c>
      <c r="G6" s="19">
        <f t="shared" si="2"/>
        <v>5720.0854700854698</v>
      </c>
      <c r="H6" s="20">
        <f t="shared" si="3"/>
        <v>4433.8900000000003</v>
      </c>
      <c r="I6" s="21">
        <f t="shared" si="4"/>
        <v>1286.1954700854694</v>
      </c>
      <c r="J6" t="s">
        <v>126</v>
      </c>
      <c r="K6" s="26">
        <v>47178</v>
      </c>
      <c r="L6" s="21">
        <v>886.75213675213683</v>
      </c>
      <c r="M6" s="9" t="s">
        <v>129</v>
      </c>
      <c r="N6" s="20">
        <f>SUM(H4:H15)</f>
        <v>51938.184833333326</v>
      </c>
      <c r="O6">
        <f t="shared" si="5"/>
        <v>5720.0854700854698</v>
      </c>
      <c r="P6">
        <f t="shared" si="6"/>
        <v>2027</v>
      </c>
      <c r="Q6">
        <f>COUNTIFS($A$2:$A6,"&gt;="&amp;DATE(YEAR($A6),1,1),$A$2:$A6,"&lt;="&amp;$A6)</f>
        <v>3</v>
      </c>
      <c r="R6">
        <f>SUMIFS($O$2:$O6,$P$2:$P6,$P6)</f>
        <v>15386.752136752137</v>
      </c>
      <c r="S6">
        <f t="shared" si="7"/>
        <v>2004.7008547008545</v>
      </c>
      <c r="T6">
        <f t="shared" si="8"/>
        <v>344.80756410256407</v>
      </c>
      <c r="U6">
        <f t="shared" si="9"/>
        <v>669.3237179487179</v>
      </c>
      <c r="V6">
        <f t="shared" si="10"/>
        <v>3018.8321367521362</v>
      </c>
      <c r="W6">
        <f t="shared" si="11"/>
        <v>1286.1954700854694</v>
      </c>
      <c r="AS6" s="38"/>
    </row>
    <row r="7" spans="1:45" x14ac:dyDescent="0.3">
      <c r="A7" s="42">
        <v>46478</v>
      </c>
      <c r="B7" s="27">
        <f t="shared" si="0"/>
        <v>4833.333333333333</v>
      </c>
      <c r="C7" s="27">
        <f t="shared" si="12"/>
        <v>0</v>
      </c>
      <c r="D7" s="27">
        <f t="shared" si="1"/>
        <v>0</v>
      </c>
      <c r="E7" s="27">
        <v>0</v>
      </c>
      <c r="F7" s="27">
        <f t="shared" si="13"/>
        <v>0</v>
      </c>
      <c r="G7" s="19">
        <f t="shared" si="2"/>
        <v>4833.333333333333</v>
      </c>
      <c r="H7" s="20">
        <f t="shared" si="3"/>
        <v>3967.0149999999994</v>
      </c>
      <c r="I7" s="21">
        <f t="shared" si="4"/>
        <v>866.31833333333361</v>
      </c>
      <c r="J7" t="s">
        <v>127</v>
      </c>
      <c r="K7" s="26">
        <v>47423</v>
      </c>
      <c r="L7" s="21">
        <f>RSU_Grant_Value_EUR/4</f>
        <v>2250</v>
      </c>
      <c r="M7" s="9" t="s">
        <v>130</v>
      </c>
      <c r="N7" s="20">
        <f>SUM(H16:H27)</f>
        <v>53523.246050000002</v>
      </c>
      <c r="O7">
        <f t="shared" si="5"/>
        <v>4833.333333333333</v>
      </c>
      <c r="P7">
        <f t="shared" si="6"/>
        <v>2027</v>
      </c>
      <c r="Q7">
        <f>COUNTIFS($A$2:$A7,"&gt;="&amp;DATE(YEAR($A7),1,1),$A$2:$A7,"&lt;="&amp;$A7)</f>
        <v>4</v>
      </c>
      <c r="R7">
        <f>SUMIFS($O$2:$O7,$P$2:$P7,$P7)</f>
        <v>20220.085470085469</v>
      </c>
      <c r="S7">
        <f t="shared" si="7"/>
        <v>2554.7008547008545</v>
      </c>
      <c r="T7">
        <f t="shared" si="8"/>
        <v>450.8758974358974</v>
      </c>
      <c r="U7">
        <f t="shared" si="9"/>
        <v>879.57371794871779</v>
      </c>
      <c r="V7">
        <f t="shared" si="10"/>
        <v>3885.1504700854698</v>
      </c>
      <c r="W7">
        <f t="shared" si="11"/>
        <v>866.31833333333361</v>
      </c>
      <c r="AS7" s="38"/>
    </row>
    <row r="8" spans="1:45" x14ac:dyDescent="0.3">
      <c r="A8" s="40">
        <v>46508</v>
      </c>
      <c r="B8" s="22">
        <f t="shared" si="0"/>
        <v>4833.333333333333</v>
      </c>
      <c r="C8" s="22">
        <f t="shared" si="12"/>
        <v>0</v>
      </c>
      <c r="D8" s="22">
        <f t="shared" si="1"/>
        <v>0</v>
      </c>
      <c r="E8" s="22">
        <v>0</v>
      </c>
      <c r="F8" s="22">
        <f t="shared" si="13"/>
        <v>0</v>
      </c>
      <c r="G8" s="19">
        <f t="shared" si="2"/>
        <v>4833.333333333333</v>
      </c>
      <c r="H8" s="20">
        <f t="shared" si="3"/>
        <v>3967.0149999999999</v>
      </c>
      <c r="I8" s="21">
        <f t="shared" si="4"/>
        <v>866.31833333333316</v>
      </c>
      <c r="J8" t="s">
        <v>126</v>
      </c>
      <c r="K8" s="26">
        <v>47543</v>
      </c>
      <c r="L8" s="21">
        <v>886.75213675213683</v>
      </c>
      <c r="M8" s="9" t="s">
        <v>131</v>
      </c>
      <c r="N8" s="20">
        <f>SUM(H28:H39)</f>
        <v>59478.086406912393</v>
      </c>
      <c r="O8">
        <f t="shared" si="5"/>
        <v>4833.333333333333</v>
      </c>
      <c r="P8">
        <f t="shared" si="6"/>
        <v>2027</v>
      </c>
      <c r="Q8">
        <f>COUNTIFS($A$2:$A8,"&gt;="&amp;DATE(YEAR($A8),1,1),$A$2:$A8,"&lt;="&amp;$A8)</f>
        <v>5</v>
      </c>
      <c r="R8">
        <f>SUMIFS($O$2:$O8,$P$2:$P8,$P8)</f>
        <v>25053.418803418801</v>
      </c>
      <c r="S8">
        <f t="shared" si="7"/>
        <v>3104.7008547008545</v>
      </c>
      <c r="T8">
        <f t="shared" si="8"/>
        <v>556.94423076923067</v>
      </c>
      <c r="U8">
        <f t="shared" si="9"/>
        <v>1089.8237179487178</v>
      </c>
      <c r="V8">
        <f t="shared" si="10"/>
        <v>4751.468803418803</v>
      </c>
      <c r="W8">
        <f t="shared" si="11"/>
        <v>866.31833333333316</v>
      </c>
      <c r="AS8" s="38"/>
    </row>
    <row r="9" spans="1:45" x14ac:dyDescent="0.3">
      <c r="A9" s="37">
        <v>46539</v>
      </c>
      <c r="B9" s="19">
        <f t="shared" si="0"/>
        <v>4833.333333333333</v>
      </c>
      <c r="C9" s="19">
        <f t="shared" si="12"/>
        <v>3393</v>
      </c>
      <c r="D9" s="19">
        <f t="shared" si="1"/>
        <v>0</v>
      </c>
      <c r="E9" s="19">
        <f t="shared" ref="E2:E33" si="14">-B9*ESPP_Contrib_Pct</f>
        <v>-966.66666666666663</v>
      </c>
      <c r="F9" s="19">
        <f t="shared" si="13"/>
        <v>0</v>
      </c>
      <c r="G9" s="19">
        <f t="shared" si="2"/>
        <v>8226.3333333333321</v>
      </c>
      <c r="H9" s="20">
        <f t="shared" si="3"/>
        <v>4786.7628333333323</v>
      </c>
      <c r="I9" s="21">
        <f t="shared" si="4"/>
        <v>2472.9038333333328</v>
      </c>
      <c r="J9" t="s">
        <v>127</v>
      </c>
      <c r="K9" s="26">
        <v>47788</v>
      </c>
      <c r="L9" s="21">
        <f>RSU_Grant_Value_EUR/4</f>
        <v>2250</v>
      </c>
      <c r="M9" s="9" t="s">
        <v>132</v>
      </c>
      <c r="N9" s="20">
        <f>SUM(H40:H51)</f>
        <v>63469.355817221571</v>
      </c>
      <c r="O9">
        <f t="shared" si="5"/>
        <v>8226.3333333333321</v>
      </c>
      <c r="P9">
        <f t="shared" si="6"/>
        <v>2027</v>
      </c>
      <c r="Q9">
        <f>COUNTIFS($A$2:$A9,"&gt;="&amp;DATE(YEAR($A9),1,1),$A$2:$A9,"&lt;="&amp;$A9)</f>
        <v>6</v>
      </c>
      <c r="R9">
        <f>SUMIFS($O$2:$O9,$P$2:$P9,$P9)</f>
        <v>33279.752136752133</v>
      </c>
      <c r="S9">
        <f t="shared" si="7"/>
        <v>5011.9008547008534</v>
      </c>
      <c r="T9">
        <f t="shared" si="8"/>
        <v>764.80256410256391</v>
      </c>
      <c r="U9">
        <f t="shared" si="9"/>
        <v>1447.6692179487177</v>
      </c>
      <c r="V9">
        <f t="shared" si="10"/>
        <v>7224.3726367521358</v>
      </c>
      <c r="W9">
        <f t="shared" si="11"/>
        <v>2472.9038333333328</v>
      </c>
      <c r="AS9" s="38"/>
    </row>
    <row r="10" spans="1:45" x14ac:dyDescent="0.3">
      <c r="A10" s="37">
        <v>46569</v>
      </c>
      <c r="B10" s="19">
        <f t="shared" si="0"/>
        <v>4833.333333333333</v>
      </c>
      <c r="C10" s="19">
        <f t="shared" si="12"/>
        <v>0</v>
      </c>
      <c r="D10" s="19">
        <f t="shared" si="1"/>
        <v>0</v>
      </c>
      <c r="E10" s="19">
        <f t="shared" si="14"/>
        <v>-966.66666666666663</v>
      </c>
      <c r="F10" s="19">
        <f t="shared" si="13"/>
        <v>0</v>
      </c>
      <c r="G10" s="19">
        <f t="shared" si="2"/>
        <v>4833.333333333333</v>
      </c>
      <c r="H10" s="20">
        <f t="shared" si="3"/>
        <v>3000.348333333332</v>
      </c>
      <c r="I10" s="21">
        <f t="shared" si="4"/>
        <v>866.31833333333452</v>
      </c>
      <c r="N10" s="20"/>
      <c r="O10">
        <f t="shared" si="5"/>
        <v>4833.333333333333</v>
      </c>
      <c r="P10">
        <f t="shared" si="6"/>
        <v>2027</v>
      </c>
      <c r="Q10">
        <f>COUNTIFS($A$2:$A10,"&gt;="&amp;DATE(YEAR($A10),1,1),$A$2:$A10,"&lt;="&amp;$A10)</f>
        <v>7</v>
      </c>
      <c r="R10">
        <f>SUMIFS($O$2:$O10,$P$2:$P10,$P10)</f>
        <v>38113.085470085469</v>
      </c>
      <c r="S10">
        <f t="shared" si="7"/>
        <v>5561.9008547008543</v>
      </c>
      <c r="T10">
        <f t="shared" si="8"/>
        <v>870.8708974358974</v>
      </c>
      <c r="U10">
        <f t="shared" si="9"/>
        <v>1657.9192179487177</v>
      </c>
      <c r="V10">
        <f t="shared" si="10"/>
        <v>8090.6909700854703</v>
      </c>
      <c r="W10">
        <f t="shared" si="11"/>
        <v>866.31833333333452</v>
      </c>
      <c r="AS10" s="38"/>
    </row>
    <row r="11" spans="1:45" x14ac:dyDescent="0.3">
      <c r="A11" s="37">
        <v>46600</v>
      </c>
      <c r="B11" s="19">
        <f t="shared" si="0"/>
        <v>4833.333333333333</v>
      </c>
      <c r="C11" s="19">
        <f t="shared" si="12"/>
        <v>0</v>
      </c>
      <c r="D11" s="19">
        <f t="shared" si="1"/>
        <v>0</v>
      </c>
      <c r="E11" s="19">
        <f t="shared" si="14"/>
        <v>-966.66666666666663</v>
      </c>
      <c r="F11" s="19">
        <f t="shared" si="13"/>
        <v>0</v>
      </c>
      <c r="G11" s="19">
        <f t="shared" si="2"/>
        <v>4833.333333333333</v>
      </c>
      <c r="H11" s="20">
        <f t="shared" si="3"/>
        <v>3000.348333333332</v>
      </c>
      <c r="I11" s="21">
        <f t="shared" si="4"/>
        <v>866.31833333333452</v>
      </c>
      <c r="M11" s="9" t="s">
        <v>133</v>
      </c>
      <c r="N11" s="20">
        <f t="array" ref="N11">N5-Living_Expenses_EUR_Monthly_2026*2</f>
        <v>10585.820115384617</v>
      </c>
      <c r="O11">
        <f t="shared" si="5"/>
        <v>4833.333333333333</v>
      </c>
      <c r="P11">
        <f t="shared" si="6"/>
        <v>2027</v>
      </c>
      <c r="Q11">
        <f>COUNTIFS($A$2:$A11,"&gt;="&amp;DATE(YEAR($A11),1,1),$A$2:$A11,"&lt;="&amp;$A11)</f>
        <v>8</v>
      </c>
      <c r="R11">
        <f>SUMIFS($O$2:$O11,$P$2:$P11,$P11)</f>
        <v>42946.418803418805</v>
      </c>
      <c r="S11">
        <f t="shared" si="7"/>
        <v>6111.9008547008561</v>
      </c>
      <c r="T11">
        <f t="shared" si="8"/>
        <v>976.93923076923079</v>
      </c>
      <c r="U11">
        <f t="shared" si="9"/>
        <v>1868.1692179487179</v>
      </c>
      <c r="V11">
        <f t="shared" si="10"/>
        <v>8957.0093034188048</v>
      </c>
      <c r="W11">
        <f t="shared" si="11"/>
        <v>866.31833333333452</v>
      </c>
      <c r="X11" s="47">
        <f>N11*1.17</f>
        <v>12385.409535000001</v>
      </c>
      <c r="AS11" s="38"/>
    </row>
    <row r="12" spans="1:45" x14ac:dyDescent="0.3">
      <c r="A12" s="37">
        <v>46631</v>
      </c>
      <c r="B12" s="19">
        <f t="shared" si="0"/>
        <v>4833.333333333333</v>
      </c>
      <c r="C12" s="19">
        <f t="shared" si="12"/>
        <v>0</v>
      </c>
      <c r="D12" s="19">
        <f t="shared" si="1"/>
        <v>0</v>
      </c>
      <c r="E12" s="19">
        <f t="shared" si="14"/>
        <v>-966.66666666666663</v>
      </c>
      <c r="F12" s="19">
        <f t="shared" si="13"/>
        <v>0</v>
      </c>
      <c r="G12" s="19">
        <f t="shared" si="2"/>
        <v>4833.333333333333</v>
      </c>
      <c r="H12" s="20">
        <f t="shared" si="3"/>
        <v>3000.348333333332</v>
      </c>
      <c r="I12" s="21">
        <f t="shared" si="4"/>
        <v>866.31833333333452</v>
      </c>
      <c r="M12" s="9" t="s">
        <v>134</v>
      </c>
      <c r="N12" s="20">
        <f>N6-Living_Expenses_EUR_Monthly_2027*12</f>
        <v>14673.864833333326</v>
      </c>
      <c r="O12">
        <f t="shared" si="5"/>
        <v>4833.333333333333</v>
      </c>
      <c r="P12">
        <f t="shared" si="6"/>
        <v>2027</v>
      </c>
      <c r="Q12">
        <f>COUNTIFS($A$2:$A12,"&gt;="&amp;DATE(YEAR($A12),1,1),$A$2:$A12,"&lt;="&amp;$A12)</f>
        <v>9</v>
      </c>
      <c r="R12">
        <f>SUMIFS($O$2:$O12,$P$2:$P12,$P12)</f>
        <v>47779.75213675214</v>
      </c>
      <c r="S12">
        <f t="shared" si="7"/>
        <v>6661.9008547008561</v>
      </c>
      <c r="T12">
        <f t="shared" si="8"/>
        <v>1083.0075641025642</v>
      </c>
      <c r="U12">
        <f t="shared" si="9"/>
        <v>2078.4192179487181</v>
      </c>
      <c r="V12">
        <f t="shared" si="10"/>
        <v>9823.3276367521394</v>
      </c>
      <c r="W12">
        <f t="shared" si="11"/>
        <v>866.31833333333452</v>
      </c>
      <c r="X12" s="47">
        <f>N12*1.17</f>
        <v>17168.42185499999</v>
      </c>
      <c r="Z12" s="56"/>
      <c r="AA12" s="56"/>
      <c r="AS12" s="38"/>
    </row>
    <row r="13" spans="1:45" x14ac:dyDescent="0.3">
      <c r="A13" s="37">
        <v>46661</v>
      </c>
      <c r="B13" s="19">
        <f t="shared" si="0"/>
        <v>4833.333333333333</v>
      </c>
      <c r="C13" s="19">
        <f t="shared" si="12"/>
        <v>0</v>
      </c>
      <c r="D13" s="19">
        <f t="shared" si="1"/>
        <v>0</v>
      </c>
      <c r="E13" s="19">
        <f t="shared" si="14"/>
        <v>-966.66666666666663</v>
      </c>
      <c r="F13" s="19">
        <f t="shared" si="13"/>
        <v>0</v>
      </c>
      <c r="G13" s="19">
        <f t="shared" si="2"/>
        <v>4833.333333333333</v>
      </c>
      <c r="H13" s="20">
        <f t="shared" si="3"/>
        <v>3000.3483333333302</v>
      </c>
      <c r="I13" s="21">
        <f t="shared" si="4"/>
        <v>866.31833333333634</v>
      </c>
      <c r="M13" s="9" t="s">
        <v>135</v>
      </c>
      <c r="N13" s="20">
        <f>N7-Living_Expenses_EUR_Monthly_2028*12</f>
        <v>15513.639649999997</v>
      </c>
      <c r="O13">
        <f t="shared" si="5"/>
        <v>4833.333333333333</v>
      </c>
      <c r="P13">
        <f t="shared" si="6"/>
        <v>2027</v>
      </c>
      <c r="Q13">
        <f>COUNTIFS($A$2:$A13,"&gt;="&amp;DATE(YEAR($A13),1,1),$A$2:$A13,"&lt;="&amp;$A13)</f>
        <v>10</v>
      </c>
      <c r="R13">
        <f>SUMIFS($O$2:$O13,$P$2:$P13,$P13)</f>
        <v>52613.085470085476</v>
      </c>
      <c r="S13">
        <f t="shared" si="7"/>
        <v>7211.9008547008598</v>
      </c>
      <c r="T13">
        <f t="shared" si="8"/>
        <v>1189.0758974358976</v>
      </c>
      <c r="U13">
        <f t="shared" si="9"/>
        <v>2288.6692179487181</v>
      </c>
      <c r="V13">
        <f t="shared" si="10"/>
        <v>10689.645970085476</v>
      </c>
      <c r="W13">
        <f t="shared" si="11"/>
        <v>866.31833333333634</v>
      </c>
      <c r="X13" s="47">
        <f>N13*1.17</f>
        <v>18150.958390499996</v>
      </c>
      <c r="AS13" s="38"/>
    </row>
    <row r="14" spans="1:45" x14ac:dyDescent="0.3">
      <c r="A14" s="41">
        <v>46692</v>
      </c>
      <c r="B14" s="23">
        <f t="shared" si="0"/>
        <v>4833.333333333333</v>
      </c>
      <c r="C14" s="23">
        <f t="shared" si="12"/>
        <v>0</v>
      </c>
      <c r="D14" s="23">
        <f t="shared" si="1"/>
        <v>2250</v>
      </c>
      <c r="E14" s="23">
        <f t="shared" si="14"/>
        <v>-966.66666666666663</v>
      </c>
      <c r="F14" s="23">
        <f t="shared" si="13"/>
        <v>0</v>
      </c>
      <c r="G14" s="19">
        <f t="shared" si="2"/>
        <v>7083.333333333333</v>
      </c>
      <c r="H14" s="20">
        <f t="shared" si="3"/>
        <v>4184.9733333333334</v>
      </c>
      <c r="I14" s="20">
        <f t="shared" si="4"/>
        <v>1931.6933333333327</v>
      </c>
      <c r="M14" s="9" t="s">
        <v>136</v>
      </c>
      <c r="N14" s="20">
        <f>N8-Living_Expenses_EUR_Monthly_2029*12</f>
        <v>20708.287878912393</v>
      </c>
      <c r="O14">
        <f t="shared" si="5"/>
        <v>7083.333333333333</v>
      </c>
      <c r="P14">
        <f t="shared" si="6"/>
        <v>2027</v>
      </c>
      <c r="Q14">
        <f>COUNTIFS($A$2:$A14,"&gt;="&amp;DATE(YEAR($A14),1,1),$A$2:$A14,"&lt;="&amp;$A14)</f>
        <v>11</v>
      </c>
      <c r="R14">
        <f>SUMIFS($O$2:$O14,$P$2:$P14,$P14)</f>
        <v>59696.418803418812</v>
      </c>
      <c r="S14">
        <f t="shared" si="7"/>
        <v>8661.9008547008598</v>
      </c>
      <c r="T14">
        <f t="shared" si="8"/>
        <v>1362.6442307692312</v>
      </c>
      <c r="U14">
        <f t="shared" si="9"/>
        <v>2596.7942179487181</v>
      </c>
      <c r="V14">
        <f t="shared" si="10"/>
        <v>12621.339303418808</v>
      </c>
      <c r="W14">
        <f t="shared" si="11"/>
        <v>1931.6933333333327</v>
      </c>
      <c r="X14" s="47">
        <f>N14*1.17</f>
        <v>24228.696818327498</v>
      </c>
      <c r="AS14" s="38"/>
    </row>
    <row r="15" spans="1:45" ht="15" customHeight="1" thickBot="1" x14ac:dyDescent="0.35">
      <c r="A15" s="43">
        <v>46722</v>
      </c>
      <c r="B15" s="44">
        <f t="shared" si="0"/>
        <v>4833.333333333333</v>
      </c>
      <c r="C15" s="44">
        <f t="shared" si="12"/>
        <v>2087.9999999999995</v>
      </c>
      <c r="D15" s="44">
        <f t="shared" si="1"/>
        <v>0</v>
      </c>
      <c r="E15" s="44">
        <f t="shared" si="14"/>
        <v>-966.66666666666663</v>
      </c>
      <c r="F15" s="44">
        <f t="shared" si="13"/>
        <v>1450</v>
      </c>
      <c r="G15" s="28">
        <f t="shared" si="2"/>
        <v>8371.3333333333321</v>
      </c>
      <c r="H15" s="29">
        <f t="shared" si="3"/>
        <v>10663.105333333333</v>
      </c>
      <c r="I15" s="20">
        <f t="shared" si="4"/>
        <v>2541.5613333333313</v>
      </c>
      <c r="M15" s="9" t="s">
        <v>137</v>
      </c>
      <c r="N15" s="20">
        <f>N9-Living_Expenses_EUR_Monthly_2030*12</f>
        <v>23924.161318661565</v>
      </c>
      <c r="O15">
        <f t="shared" si="5"/>
        <v>8371.3333333333321</v>
      </c>
      <c r="P15">
        <f t="shared" si="6"/>
        <v>2027</v>
      </c>
      <c r="Q15">
        <f>COUNTIFS($A$2:$A15,"&gt;="&amp;DATE(YEAR($A15),1,1),$A$2:$A15,"&lt;="&amp;$A15)</f>
        <v>12</v>
      </c>
      <c r="R15">
        <f>SUMIFS($O$2:$O15,$P$2:$P15,$P15)</f>
        <v>68067.75213675214</v>
      </c>
      <c r="S15">
        <f t="shared" si="7"/>
        <v>10627.100854700857</v>
      </c>
      <c r="T15">
        <f t="shared" si="8"/>
        <v>1574.8525641025642</v>
      </c>
      <c r="U15">
        <f t="shared" si="9"/>
        <v>2960.9472179487179</v>
      </c>
      <c r="V15">
        <f t="shared" si="10"/>
        <v>15162.90063675214</v>
      </c>
      <c r="W15">
        <f t="shared" si="11"/>
        <v>2541.5613333333313</v>
      </c>
      <c r="X15" s="47">
        <f>N15*1.17</f>
        <v>27991.268742834029</v>
      </c>
    </row>
    <row r="16" spans="1:45" ht="15" customHeight="1" thickTop="1" x14ac:dyDescent="0.3">
      <c r="A16" s="25">
        <v>46753</v>
      </c>
      <c r="B16" s="22">
        <f t="shared" si="0"/>
        <v>4833.333333333333</v>
      </c>
      <c r="C16" s="22">
        <f t="shared" si="12"/>
        <v>0</v>
      </c>
      <c r="D16" s="22">
        <f t="shared" si="1"/>
        <v>0</v>
      </c>
      <c r="E16" s="22">
        <f t="shared" si="14"/>
        <v>-966.66666666666663</v>
      </c>
      <c r="F16" s="22">
        <f t="shared" si="13"/>
        <v>0</v>
      </c>
      <c r="G16" s="22">
        <f t="shared" si="2"/>
        <v>4833.333333333333</v>
      </c>
      <c r="H16" s="20">
        <f t="shared" si="3"/>
        <v>3000.3483333333329</v>
      </c>
      <c r="I16" s="20">
        <f t="shared" si="4"/>
        <v>866.31833333333338</v>
      </c>
      <c r="N16" s="20"/>
      <c r="O16">
        <f t="shared" si="5"/>
        <v>4833.333333333333</v>
      </c>
      <c r="P16">
        <f t="shared" si="6"/>
        <v>2028</v>
      </c>
      <c r="Q16">
        <f>COUNTIFS($A$2:$A16,"&gt;="&amp;DATE(YEAR($A16),1,1),$A$2:$A16,"&lt;="&amp;$A16)</f>
        <v>1</v>
      </c>
      <c r="R16">
        <f>SUMIFS($O$2:$O16,$P$2:$P16,$P16)</f>
        <v>4833.333333333333</v>
      </c>
      <c r="S16">
        <f t="shared" si="7"/>
        <v>550</v>
      </c>
      <c r="T16">
        <f t="shared" si="8"/>
        <v>106.06833333333333</v>
      </c>
      <c r="U16">
        <f t="shared" si="9"/>
        <v>210.24999999999997</v>
      </c>
      <c r="V16">
        <f t="shared" si="10"/>
        <v>866.31833333333338</v>
      </c>
      <c r="W16">
        <f t="shared" si="11"/>
        <v>866.31833333333338</v>
      </c>
    </row>
    <row r="17" spans="1:24" x14ac:dyDescent="0.3">
      <c r="A17" s="8">
        <v>46784</v>
      </c>
      <c r="B17" s="19">
        <f t="shared" si="0"/>
        <v>4833.333333333333</v>
      </c>
      <c r="C17" s="19">
        <f t="shared" si="12"/>
        <v>0</v>
      </c>
      <c r="D17" s="19">
        <f t="shared" si="1"/>
        <v>0</v>
      </c>
      <c r="E17" s="19">
        <f t="shared" si="14"/>
        <v>-966.66666666666663</v>
      </c>
      <c r="F17" s="19">
        <f t="shared" si="13"/>
        <v>0</v>
      </c>
      <c r="G17" s="19">
        <f t="shared" si="2"/>
        <v>4833.333333333333</v>
      </c>
      <c r="H17" s="20">
        <f t="shared" si="3"/>
        <v>3000.3483333333329</v>
      </c>
      <c r="I17" s="20">
        <f t="shared" si="4"/>
        <v>866.31833333333338</v>
      </c>
      <c r="M17" s="9" t="s">
        <v>138</v>
      </c>
      <c r="N17" s="20">
        <f>SUM(N11:N15)</f>
        <v>85405.773796291905</v>
      </c>
      <c r="O17">
        <f t="shared" si="5"/>
        <v>4833.333333333333</v>
      </c>
      <c r="P17">
        <f t="shared" si="6"/>
        <v>2028</v>
      </c>
      <c r="Q17">
        <f>COUNTIFS($A$2:$A17,"&gt;="&amp;DATE(YEAR($A17),1,1),$A$2:$A17,"&lt;="&amp;$A17)</f>
        <v>2</v>
      </c>
      <c r="R17">
        <f>SUMIFS($O$2:$O17,$P$2:$P17,$P17)</f>
        <v>9666.6666666666661</v>
      </c>
      <c r="S17">
        <f t="shared" si="7"/>
        <v>1100</v>
      </c>
      <c r="T17">
        <f t="shared" si="8"/>
        <v>212.13666666666666</v>
      </c>
      <c r="U17">
        <f t="shared" si="9"/>
        <v>420.49999999999994</v>
      </c>
      <c r="V17">
        <f t="shared" si="10"/>
        <v>1732.6366666666668</v>
      </c>
      <c r="W17">
        <f t="shared" si="11"/>
        <v>866.31833333333338</v>
      </c>
      <c r="X17" s="57">
        <f>N17*EUR_to_USD</f>
        <v>99924.755341661526</v>
      </c>
    </row>
    <row r="18" spans="1:24" x14ac:dyDescent="0.3">
      <c r="A18" s="24">
        <v>46813</v>
      </c>
      <c r="B18" s="23">
        <f t="shared" si="0"/>
        <v>4833.333333333333</v>
      </c>
      <c r="C18" s="23">
        <f t="shared" si="12"/>
        <v>0</v>
      </c>
      <c r="D18" s="23">
        <f t="shared" si="1"/>
        <v>886.75213675213683</v>
      </c>
      <c r="E18" s="23">
        <f t="shared" si="14"/>
        <v>-966.66666666666663</v>
      </c>
      <c r="F18" s="23">
        <f t="shared" si="13"/>
        <v>0</v>
      </c>
      <c r="G18" s="19">
        <f t="shared" si="2"/>
        <v>5720.0854700854698</v>
      </c>
      <c r="H18" s="20">
        <f t="shared" si="3"/>
        <v>3467.2233333333338</v>
      </c>
      <c r="I18" s="20">
        <f t="shared" si="4"/>
        <v>1286.1954700854694</v>
      </c>
      <c r="O18">
        <f t="shared" si="5"/>
        <v>5720.0854700854698</v>
      </c>
      <c r="P18">
        <f t="shared" si="6"/>
        <v>2028</v>
      </c>
      <c r="Q18">
        <f>COUNTIFS($A$2:$A18,"&gt;="&amp;DATE(YEAR($A18),1,1),$A$2:$A18,"&lt;="&amp;$A18)</f>
        <v>3</v>
      </c>
      <c r="R18">
        <f>SUMIFS($O$2:$O18,$P$2:$P18,$P18)</f>
        <v>15386.752136752137</v>
      </c>
      <c r="S18">
        <f t="shared" si="7"/>
        <v>2004.7008547008545</v>
      </c>
      <c r="T18">
        <f t="shared" si="8"/>
        <v>344.80756410256407</v>
      </c>
      <c r="U18">
        <f t="shared" si="9"/>
        <v>669.3237179487179</v>
      </c>
      <c r="V18">
        <f t="shared" si="10"/>
        <v>3018.8321367521362</v>
      </c>
      <c r="W18">
        <f t="shared" si="11"/>
        <v>1286.1954700854694</v>
      </c>
    </row>
    <row r="19" spans="1:24" x14ac:dyDescent="0.3">
      <c r="A19" s="25">
        <v>46844</v>
      </c>
      <c r="B19" s="22">
        <f t="shared" si="0"/>
        <v>4833.333333333333</v>
      </c>
      <c r="C19" s="22">
        <f t="shared" si="12"/>
        <v>0</v>
      </c>
      <c r="D19" s="22">
        <f t="shared" si="1"/>
        <v>0</v>
      </c>
      <c r="E19" s="22">
        <f t="shared" si="14"/>
        <v>-966.66666666666663</v>
      </c>
      <c r="F19" s="22">
        <f t="shared" si="13"/>
        <v>0</v>
      </c>
      <c r="G19" s="19">
        <f t="shared" si="2"/>
        <v>4833.333333333333</v>
      </c>
      <c r="H19" s="20">
        <f t="shared" si="3"/>
        <v>3000.3483333333329</v>
      </c>
      <c r="I19" s="21">
        <f t="shared" si="4"/>
        <v>866.31833333333361</v>
      </c>
      <c r="O19">
        <f t="shared" si="5"/>
        <v>4833.333333333333</v>
      </c>
      <c r="P19">
        <f t="shared" si="6"/>
        <v>2028</v>
      </c>
      <c r="Q19">
        <f>COUNTIFS($A$2:$A19,"&gt;="&amp;DATE(YEAR($A19),1,1),$A$2:$A19,"&lt;="&amp;$A19)</f>
        <v>4</v>
      </c>
      <c r="R19">
        <f>SUMIFS($O$2:$O19,$P$2:$P19,$P19)</f>
        <v>20220.085470085469</v>
      </c>
      <c r="S19">
        <f t="shared" si="7"/>
        <v>2554.7008547008545</v>
      </c>
      <c r="T19">
        <f t="shared" si="8"/>
        <v>450.8758974358974</v>
      </c>
      <c r="U19">
        <f t="shared" si="9"/>
        <v>879.57371794871779</v>
      </c>
      <c r="V19">
        <f t="shared" si="10"/>
        <v>3885.1504700854698</v>
      </c>
      <c r="W19">
        <f t="shared" si="11"/>
        <v>866.31833333333361</v>
      </c>
    </row>
    <row r="20" spans="1:24" x14ac:dyDescent="0.3">
      <c r="A20" s="8">
        <v>46874</v>
      </c>
      <c r="B20" s="19">
        <f t="shared" si="0"/>
        <v>5123.333333333333</v>
      </c>
      <c r="C20" s="19">
        <f t="shared" si="12"/>
        <v>0</v>
      </c>
      <c r="D20" s="19">
        <f t="shared" si="1"/>
        <v>0</v>
      </c>
      <c r="E20" s="19">
        <f t="shared" si="14"/>
        <v>-1024.6666666666667</v>
      </c>
      <c r="F20" s="19">
        <f t="shared" si="13"/>
        <v>0</v>
      </c>
      <c r="G20" s="19">
        <f t="shared" si="2"/>
        <v>5123.333333333333</v>
      </c>
      <c r="H20" s="20">
        <f t="shared" si="3"/>
        <v>3095.0333333333338</v>
      </c>
      <c r="I20" s="21">
        <f t="shared" si="4"/>
        <v>1003.6333333333328</v>
      </c>
      <c r="M20" s="16"/>
      <c r="O20">
        <f t="shared" si="5"/>
        <v>5123.333333333333</v>
      </c>
      <c r="P20">
        <f t="shared" si="6"/>
        <v>2028</v>
      </c>
      <c r="Q20">
        <f>COUNTIFS($A$2:$A20,"&gt;="&amp;DATE(YEAR($A20),1,1),$A$2:$A20,"&lt;="&amp;$A20)</f>
        <v>5</v>
      </c>
      <c r="R20">
        <f>SUMIFS($O$2:$O20,$P$2:$P20,$P20)</f>
        <v>25343.418803418801</v>
      </c>
      <c r="S20">
        <f t="shared" si="7"/>
        <v>3220.7008547008545</v>
      </c>
      <c r="T20">
        <f t="shared" si="8"/>
        <v>565.64423076923072</v>
      </c>
      <c r="U20">
        <f t="shared" si="9"/>
        <v>1102.4387179487178</v>
      </c>
      <c r="V20">
        <f t="shared" si="10"/>
        <v>4888.7838034188026</v>
      </c>
      <c r="W20">
        <f t="shared" si="11"/>
        <v>1003.6333333333328</v>
      </c>
    </row>
    <row r="21" spans="1:24" x14ac:dyDescent="0.3">
      <c r="A21" s="8">
        <v>46905</v>
      </c>
      <c r="B21" s="19">
        <f t="shared" si="0"/>
        <v>5123.333333333333</v>
      </c>
      <c r="C21" s="19">
        <f t="shared" si="12"/>
        <v>434.99999999999989</v>
      </c>
      <c r="D21" s="19">
        <f t="shared" si="1"/>
        <v>0</v>
      </c>
      <c r="E21" s="19">
        <f t="shared" si="14"/>
        <v>-1024.6666666666667</v>
      </c>
      <c r="F21" s="19">
        <f t="shared" si="13"/>
        <v>1464.5</v>
      </c>
      <c r="G21" s="19">
        <f t="shared" si="2"/>
        <v>7022.833333333333</v>
      </c>
      <c r="H21" s="20">
        <f t="shared" si="3"/>
        <v>9953.1200833333351</v>
      </c>
      <c r="I21" s="21">
        <f t="shared" si="4"/>
        <v>1903.0465833333319</v>
      </c>
      <c r="M21" s="17"/>
      <c r="O21">
        <f t="shared" si="5"/>
        <v>7022.833333333333</v>
      </c>
      <c r="P21">
        <f t="shared" si="6"/>
        <v>2028</v>
      </c>
      <c r="Q21">
        <f>COUNTIFS($A$2:$A21,"&gt;="&amp;DATE(YEAR($A21),1,1),$A$2:$A21,"&lt;="&amp;$A21)</f>
        <v>6</v>
      </c>
      <c r="R21">
        <f>SUMIFS($O$2:$O21,$P$2:$P21,$P21)</f>
        <v>32366.252136752133</v>
      </c>
      <c r="S21">
        <f t="shared" si="7"/>
        <v>4646.5008547008529</v>
      </c>
      <c r="T21">
        <f t="shared" si="8"/>
        <v>737.39756410256393</v>
      </c>
      <c r="U21">
        <f t="shared" si="9"/>
        <v>1407.9319679487178</v>
      </c>
      <c r="V21">
        <f t="shared" si="10"/>
        <v>6791.8303867521345</v>
      </c>
      <c r="W21">
        <f t="shared" si="11"/>
        <v>1903.0465833333319</v>
      </c>
    </row>
    <row r="22" spans="1:24" x14ac:dyDescent="0.3">
      <c r="A22" s="8">
        <v>46935</v>
      </c>
      <c r="B22" s="19">
        <f t="shared" si="0"/>
        <v>5123.333333333333</v>
      </c>
      <c r="C22" s="19">
        <f t="shared" si="12"/>
        <v>0</v>
      </c>
      <c r="D22" s="19">
        <f t="shared" si="1"/>
        <v>0</v>
      </c>
      <c r="E22" s="19">
        <f t="shared" si="14"/>
        <v>-1024.6666666666667</v>
      </c>
      <c r="F22" s="19">
        <f t="shared" si="13"/>
        <v>0</v>
      </c>
      <c r="G22" s="19">
        <f t="shared" si="2"/>
        <v>5123.333333333333</v>
      </c>
      <c r="H22" s="20">
        <f t="shared" si="3"/>
        <v>3095.033333333331</v>
      </c>
      <c r="I22" s="21">
        <f t="shared" si="4"/>
        <v>1003.633333333335</v>
      </c>
      <c r="M22" s="16"/>
      <c r="O22">
        <f t="shared" si="5"/>
        <v>5123.333333333333</v>
      </c>
      <c r="P22">
        <f t="shared" si="6"/>
        <v>2028</v>
      </c>
      <c r="Q22">
        <f>COUNTIFS($A$2:$A22,"&gt;="&amp;DATE(YEAR($A22),1,1),$A$2:$A22,"&lt;="&amp;$A22)</f>
        <v>7</v>
      </c>
      <c r="R22">
        <f>SUMIFS($O$2:$O22,$P$2:$P22,$P22)</f>
        <v>37489.585470085469</v>
      </c>
      <c r="S22">
        <f t="shared" si="7"/>
        <v>5312.5008547008547</v>
      </c>
      <c r="T22">
        <f t="shared" si="8"/>
        <v>852.16589743589736</v>
      </c>
      <c r="U22">
        <f t="shared" si="9"/>
        <v>1630.7969679487178</v>
      </c>
      <c r="V22">
        <f t="shared" si="10"/>
        <v>7795.4637200854695</v>
      </c>
      <c r="W22">
        <f t="shared" si="11"/>
        <v>1003.633333333335</v>
      </c>
    </row>
    <row r="23" spans="1:24" x14ac:dyDescent="0.3">
      <c r="A23" s="8">
        <v>46966</v>
      </c>
      <c r="B23" s="19">
        <f t="shared" si="0"/>
        <v>5123.333333333333</v>
      </c>
      <c r="C23" s="19">
        <f t="shared" si="12"/>
        <v>0</v>
      </c>
      <c r="D23" s="19">
        <f t="shared" si="1"/>
        <v>0</v>
      </c>
      <c r="E23" s="19">
        <f t="shared" si="14"/>
        <v>-1024.6666666666667</v>
      </c>
      <c r="F23" s="19">
        <f t="shared" si="13"/>
        <v>0</v>
      </c>
      <c r="G23" s="19">
        <f t="shared" si="2"/>
        <v>5123.333333333333</v>
      </c>
      <c r="H23" s="20">
        <f t="shared" si="3"/>
        <v>3095.0333333333319</v>
      </c>
      <c r="I23" s="21">
        <f t="shared" si="4"/>
        <v>1003.6333333333341</v>
      </c>
      <c r="M23" s="17"/>
      <c r="N23" s="17"/>
      <c r="O23">
        <f t="shared" si="5"/>
        <v>5123.333333333333</v>
      </c>
      <c r="P23">
        <f t="shared" si="6"/>
        <v>2028</v>
      </c>
      <c r="Q23">
        <f>COUNTIFS($A$2:$A23,"&gt;="&amp;DATE(YEAR($A23),1,1),$A$2:$A23,"&lt;="&amp;$A23)</f>
        <v>8</v>
      </c>
      <c r="R23">
        <f>SUMIFS($O$2:$O23,$P$2:$P23,$P23)</f>
        <v>42612.918803418805</v>
      </c>
      <c r="S23">
        <f t="shared" si="7"/>
        <v>5978.5008547008547</v>
      </c>
      <c r="T23">
        <f t="shared" si="8"/>
        <v>966.93423076923091</v>
      </c>
      <c r="U23">
        <f t="shared" si="9"/>
        <v>1853.6619679487178</v>
      </c>
      <c r="V23">
        <f t="shared" si="10"/>
        <v>8799.0970534188036</v>
      </c>
      <c r="W23">
        <f t="shared" si="11"/>
        <v>1003.6333333333341</v>
      </c>
    </row>
    <row r="24" spans="1:24" x14ac:dyDescent="0.3">
      <c r="A24" s="8">
        <v>46997</v>
      </c>
      <c r="B24" s="19">
        <f t="shared" si="0"/>
        <v>5123.333333333333</v>
      </c>
      <c r="C24" s="19">
        <f t="shared" si="12"/>
        <v>0</v>
      </c>
      <c r="D24" s="19">
        <f t="shared" si="1"/>
        <v>0</v>
      </c>
      <c r="E24" s="19">
        <f t="shared" si="14"/>
        <v>-1024.6666666666667</v>
      </c>
      <c r="F24" s="19">
        <f t="shared" si="13"/>
        <v>0</v>
      </c>
      <c r="G24" s="19">
        <f t="shared" si="2"/>
        <v>5123.333333333333</v>
      </c>
      <c r="H24" s="20">
        <f t="shared" si="3"/>
        <v>3095.033333333331</v>
      </c>
      <c r="I24" s="21">
        <f t="shared" si="4"/>
        <v>1003.633333333335</v>
      </c>
      <c r="M24" s="46"/>
      <c r="O24">
        <f t="shared" si="5"/>
        <v>5123.333333333333</v>
      </c>
      <c r="P24">
        <f t="shared" si="6"/>
        <v>2028</v>
      </c>
      <c r="Q24">
        <f>COUNTIFS($A$2:$A24,"&gt;="&amp;DATE(YEAR($A24),1,1),$A$2:$A24,"&lt;="&amp;$A24)</f>
        <v>9</v>
      </c>
      <c r="R24">
        <f>SUMIFS($O$2:$O24,$P$2:$P24,$P24)</f>
        <v>47736.25213675214</v>
      </c>
      <c r="S24">
        <f t="shared" si="7"/>
        <v>6644.5008547008565</v>
      </c>
      <c r="T24">
        <f t="shared" si="8"/>
        <v>1081.7025641025643</v>
      </c>
      <c r="U24">
        <f t="shared" si="9"/>
        <v>2076.5269679487178</v>
      </c>
      <c r="V24">
        <f t="shared" si="10"/>
        <v>9802.7303867521387</v>
      </c>
      <c r="W24">
        <f t="shared" si="11"/>
        <v>1003.633333333335</v>
      </c>
    </row>
    <row r="25" spans="1:24" x14ac:dyDescent="0.3">
      <c r="A25" s="8">
        <v>47027</v>
      </c>
      <c r="B25" s="19">
        <f t="shared" si="0"/>
        <v>5123.333333333333</v>
      </c>
      <c r="C25" s="19">
        <f t="shared" si="12"/>
        <v>0</v>
      </c>
      <c r="D25" s="19">
        <f t="shared" si="1"/>
        <v>0</v>
      </c>
      <c r="E25" s="19">
        <f t="shared" si="14"/>
        <v>-1024.6666666666667</v>
      </c>
      <c r="F25" s="19">
        <f t="shared" si="13"/>
        <v>0</v>
      </c>
      <c r="G25" s="19">
        <f t="shared" si="2"/>
        <v>5123.333333333333</v>
      </c>
      <c r="H25" s="20">
        <f t="shared" si="3"/>
        <v>3095.0333333333292</v>
      </c>
      <c r="I25" s="21">
        <f t="shared" si="4"/>
        <v>1003.6333333333369</v>
      </c>
      <c r="M25" s="58"/>
      <c r="O25">
        <f t="shared" si="5"/>
        <v>5123.333333333333</v>
      </c>
      <c r="P25">
        <f t="shared" si="6"/>
        <v>2028</v>
      </c>
      <c r="Q25">
        <f>COUNTIFS($A$2:$A25,"&gt;="&amp;DATE(YEAR($A25),1,1),$A$2:$A25,"&lt;="&amp;$A25)</f>
        <v>10</v>
      </c>
      <c r="R25">
        <f>SUMIFS($O$2:$O25,$P$2:$P25,$P25)</f>
        <v>52859.585470085476</v>
      </c>
      <c r="S25">
        <f t="shared" si="7"/>
        <v>7310.5008547008583</v>
      </c>
      <c r="T25">
        <f t="shared" si="8"/>
        <v>1196.4708974358978</v>
      </c>
      <c r="U25">
        <f t="shared" si="9"/>
        <v>2299.391967948718</v>
      </c>
      <c r="V25">
        <f t="shared" si="10"/>
        <v>10806.363720085476</v>
      </c>
      <c r="W25">
        <f t="shared" si="11"/>
        <v>1003.6333333333369</v>
      </c>
    </row>
    <row r="26" spans="1:24" x14ac:dyDescent="0.3">
      <c r="A26" s="8">
        <v>47058</v>
      </c>
      <c r="B26" s="19">
        <f t="shared" si="0"/>
        <v>5123.333333333333</v>
      </c>
      <c r="C26" s="19">
        <f t="shared" si="12"/>
        <v>0</v>
      </c>
      <c r="D26" s="19">
        <f t="shared" si="1"/>
        <v>2250</v>
      </c>
      <c r="E26" s="19">
        <f t="shared" si="14"/>
        <v>-1024.6666666666667</v>
      </c>
      <c r="F26" s="19">
        <f t="shared" si="13"/>
        <v>0</v>
      </c>
      <c r="G26" s="19">
        <f t="shared" si="2"/>
        <v>7373.333333333333</v>
      </c>
      <c r="H26" s="20">
        <f t="shared" si="3"/>
        <v>4279.6583333333328</v>
      </c>
      <c r="I26" s="21">
        <f t="shared" si="4"/>
        <v>2069.0083333333332</v>
      </c>
      <c r="O26">
        <f t="shared" si="5"/>
        <v>7373.333333333333</v>
      </c>
      <c r="P26">
        <f t="shared" si="6"/>
        <v>2028</v>
      </c>
      <c r="Q26">
        <f>COUNTIFS($A$2:$A26,"&gt;="&amp;DATE(YEAR($A26),1,1),$A$2:$A26,"&lt;="&amp;$A26)</f>
        <v>11</v>
      </c>
      <c r="R26">
        <f>SUMIFS($O$2:$O26,$P$2:$P26,$P26)</f>
        <v>60232.918803418812</v>
      </c>
      <c r="S26">
        <f t="shared" si="7"/>
        <v>8876.5008547008583</v>
      </c>
      <c r="T26">
        <f t="shared" si="8"/>
        <v>1378.7392307692312</v>
      </c>
      <c r="U26">
        <f t="shared" si="9"/>
        <v>2620.1319679487183</v>
      </c>
      <c r="V26">
        <f t="shared" si="10"/>
        <v>12875.372053418809</v>
      </c>
      <c r="W26">
        <f t="shared" si="11"/>
        <v>2069.0083333333332</v>
      </c>
    </row>
    <row r="27" spans="1:24" ht="15" customHeight="1" thickBot="1" x14ac:dyDescent="0.35">
      <c r="A27" s="45">
        <v>47088</v>
      </c>
      <c r="B27" s="28">
        <f t="shared" si="0"/>
        <v>5123.333333333333</v>
      </c>
      <c r="C27" s="28">
        <f t="shared" si="12"/>
        <v>2459.1999999999998</v>
      </c>
      <c r="D27" s="28">
        <f t="shared" si="1"/>
        <v>0</v>
      </c>
      <c r="E27" s="28">
        <f t="shared" si="14"/>
        <v>-1024.6666666666667</v>
      </c>
      <c r="F27" s="28">
        <f t="shared" si="13"/>
        <v>1537.0000000000002</v>
      </c>
      <c r="G27" s="28">
        <f t="shared" si="2"/>
        <v>9119.5333333333328</v>
      </c>
      <c r="H27" s="29">
        <f t="shared" si="3"/>
        <v>11347.03263333334</v>
      </c>
      <c r="I27" s="21">
        <f t="shared" si="4"/>
        <v>2895.8340333333272</v>
      </c>
      <c r="O27">
        <f t="shared" si="5"/>
        <v>9119.5333333333328</v>
      </c>
      <c r="P27">
        <f t="shared" si="6"/>
        <v>2028</v>
      </c>
      <c r="Q27">
        <f>COUNTIFS($A$2:$A27,"&gt;="&amp;DATE(YEAR($A27),1,1),$A$2:$A27,"&lt;="&amp;$A27)</f>
        <v>12</v>
      </c>
      <c r="R27">
        <f>SUMIFS($O$2:$O27,$P$2:$P27,$P27)</f>
        <v>69352.452136752137</v>
      </c>
      <c r="S27">
        <f t="shared" si="7"/>
        <v>11140.980854700854</v>
      </c>
      <c r="T27">
        <f t="shared" si="8"/>
        <v>1613.3935641025639</v>
      </c>
      <c r="U27">
        <f t="shared" si="9"/>
        <v>3016.8316679487179</v>
      </c>
      <c r="V27">
        <f t="shared" si="10"/>
        <v>15771.206086752136</v>
      </c>
      <c r="W27">
        <f t="shared" si="11"/>
        <v>2895.8340333333272</v>
      </c>
    </row>
    <row r="28" spans="1:24" ht="15" customHeight="1" thickTop="1" x14ac:dyDescent="0.3">
      <c r="A28" s="25">
        <v>47119</v>
      </c>
      <c r="B28" s="22">
        <f t="shared" si="0"/>
        <v>5123.333333333333</v>
      </c>
      <c r="C28" s="22">
        <f t="shared" si="12"/>
        <v>0</v>
      </c>
      <c r="D28" s="22">
        <f t="shared" si="1"/>
        <v>0</v>
      </c>
      <c r="E28" s="22">
        <f t="shared" si="14"/>
        <v>-1024.6666666666667</v>
      </c>
      <c r="F28" s="22">
        <f t="shared" si="13"/>
        <v>0</v>
      </c>
      <c r="G28" s="22">
        <f t="shared" si="2"/>
        <v>5123.333333333333</v>
      </c>
      <c r="H28" s="20">
        <f t="shared" si="3"/>
        <v>3095.0333333333328</v>
      </c>
      <c r="I28" s="21">
        <f t="shared" si="4"/>
        <v>1003.6333333333333</v>
      </c>
      <c r="O28">
        <f t="shared" si="5"/>
        <v>5123.333333333333</v>
      </c>
      <c r="P28">
        <f t="shared" si="6"/>
        <v>2029</v>
      </c>
      <c r="Q28">
        <f>COUNTIFS($A$2:$A28,"&gt;="&amp;DATE(YEAR($A28),1,1),$A$2:$A28,"&lt;="&amp;$A28)</f>
        <v>1</v>
      </c>
      <c r="R28">
        <f>SUMIFS($O$2:$O28,$P$2:$P28,$P28)</f>
        <v>5123.333333333333</v>
      </c>
      <c r="S28">
        <f t="shared" si="7"/>
        <v>666</v>
      </c>
      <c r="T28">
        <f t="shared" si="8"/>
        <v>114.76833333333332</v>
      </c>
      <c r="U28">
        <f t="shared" si="9"/>
        <v>222.86499999999998</v>
      </c>
      <c r="V28">
        <f t="shared" si="10"/>
        <v>1003.6333333333333</v>
      </c>
      <c r="W28">
        <f t="shared" si="11"/>
        <v>1003.6333333333333</v>
      </c>
    </row>
    <row r="29" spans="1:24" x14ac:dyDescent="0.3">
      <c r="A29" s="8">
        <v>47150</v>
      </c>
      <c r="B29" s="19">
        <f t="shared" si="0"/>
        <v>5123.333333333333</v>
      </c>
      <c r="C29" s="19">
        <f t="shared" si="12"/>
        <v>0</v>
      </c>
      <c r="D29" s="19">
        <f t="shared" si="1"/>
        <v>0</v>
      </c>
      <c r="E29" s="19">
        <f t="shared" si="14"/>
        <v>-1024.6666666666667</v>
      </c>
      <c r="F29" s="19">
        <f t="shared" si="13"/>
        <v>0</v>
      </c>
      <c r="G29" s="19">
        <f t="shared" si="2"/>
        <v>5123.333333333333</v>
      </c>
      <c r="H29" s="20">
        <f t="shared" si="3"/>
        <v>3095.0333333333328</v>
      </c>
      <c r="I29" s="21">
        <f t="shared" si="4"/>
        <v>1003.6333333333333</v>
      </c>
      <c r="O29">
        <f t="shared" si="5"/>
        <v>5123.333333333333</v>
      </c>
      <c r="P29">
        <f t="shared" si="6"/>
        <v>2029</v>
      </c>
      <c r="Q29">
        <f>COUNTIFS($A$2:$A29,"&gt;="&amp;DATE(YEAR($A29),1,1),$A$2:$A29,"&lt;="&amp;$A29)</f>
        <v>2</v>
      </c>
      <c r="R29">
        <f>SUMIFS($O$2:$O29,$P$2:$P29,$P29)</f>
        <v>10246.666666666666</v>
      </c>
      <c r="S29">
        <f t="shared" si="7"/>
        <v>1332</v>
      </c>
      <c r="T29">
        <f t="shared" si="8"/>
        <v>229.53666666666663</v>
      </c>
      <c r="U29">
        <f t="shared" si="9"/>
        <v>445.72999999999996</v>
      </c>
      <c r="V29">
        <f t="shared" si="10"/>
        <v>2007.2666666666667</v>
      </c>
      <c r="W29">
        <f t="shared" si="11"/>
        <v>1003.6333333333333</v>
      </c>
    </row>
    <row r="30" spans="1:24" x14ac:dyDescent="0.3">
      <c r="A30" s="24">
        <v>47178</v>
      </c>
      <c r="B30" s="23">
        <f t="shared" si="0"/>
        <v>5123.333333333333</v>
      </c>
      <c r="C30" s="23">
        <f t="shared" si="12"/>
        <v>0</v>
      </c>
      <c r="D30" s="23">
        <f t="shared" si="1"/>
        <v>886.75213675213683</v>
      </c>
      <c r="E30" s="23">
        <f t="shared" si="14"/>
        <v>-1024.6666666666667</v>
      </c>
      <c r="F30" s="23">
        <f t="shared" si="13"/>
        <v>0</v>
      </c>
      <c r="G30" s="19">
        <f t="shared" si="2"/>
        <v>6010.0854700854698</v>
      </c>
      <c r="H30" s="20">
        <f t="shared" si="3"/>
        <v>3561.9083333333328</v>
      </c>
      <c r="I30" s="21">
        <f t="shared" si="4"/>
        <v>1423.5104700854702</v>
      </c>
      <c r="N30" s="46"/>
      <c r="O30">
        <f t="shared" si="5"/>
        <v>6010.0854700854698</v>
      </c>
      <c r="P30">
        <f t="shared" si="6"/>
        <v>2029</v>
      </c>
      <c r="Q30">
        <f>COUNTIFS($A$2:$A30,"&gt;="&amp;DATE(YEAR($A30),1,1),$A$2:$A30,"&lt;="&amp;$A30)</f>
        <v>3</v>
      </c>
      <c r="R30">
        <f>SUMIFS($O$2:$O30,$P$2:$P30,$P30)</f>
        <v>16256.752136752137</v>
      </c>
      <c r="S30">
        <f t="shared" si="7"/>
        <v>2352.7008547008545</v>
      </c>
      <c r="T30">
        <f t="shared" si="8"/>
        <v>370.90756410256409</v>
      </c>
      <c r="U30">
        <f t="shared" si="9"/>
        <v>707.16871794871793</v>
      </c>
      <c r="V30">
        <f t="shared" si="10"/>
        <v>3430.7771367521368</v>
      </c>
      <c r="W30">
        <f t="shared" si="11"/>
        <v>1423.5104700854702</v>
      </c>
    </row>
    <row r="31" spans="1:24" x14ac:dyDescent="0.3">
      <c r="A31" s="25">
        <v>47209</v>
      </c>
      <c r="B31" s="22">
        <f t="shared" si="0"/>
        <v>5123.333333333333</v>
      </c>
      <c r="C31" s="22">
        <f t="shared" si="12"/>
        <v>0</v>
      </c>
      <c r="D31" s="22">
        <f t="shared" si="1"/>
        <v>0</v>
      </c>
      <c r="E31" s="22">
        <f t="shared" si="14"/>
        <v>-1024.6666666666667</v>
      </c>
      <c r="F31" s="22">
        <f t="shared" si="13"/>
        <v>0</v>
      </c>
      <c r="G31" s="19">
        <f t="shared" si="2"/>
        <v>5123.333333333333</v>
      </c>
      <c r="H31" s="20">
        <f t="shared" si="3"/>
        <v>3095.0333333333338</v>
      </c>
      <c r="I31" s="21">
        <f t="shared" si="4"/>
        <v>1003.6333333333328</v>
      </c>
      <c r="O31">
        <f t="shared" si="5"/>
        <v>5123.333333333333</v>
      </c>
      <c r="P31">
        <f t="shared" si="6"/>
        <v>2029</v>
      </c>
      <c r="Q31">
        <f>COUNTIFS($A$2:$A31,"&gt;="&amp;DATE(YEAR($A31),1,1),$A$2:$A31,"&lt;="&amp;$A31)</f>
        <v>4</v>
      </c>
      <c r="R31">
        <f>SUMIFS($O$2:$O31,$P$2:$P31,$P31)</f>
        <v>21380.085470085469</v>
      </c>
      <c r="S31">
        <f t="shared" si="7"/>
        <v>3018.7008547008545</v>
      </c>
      <c r="T31">
        <f t="shared" si="8"/>
        <v>485.67589743589735</v>
      </c>
      <c r="U31">
        <f t="shared" si="9"/>
        <v>930.03371794871782</v>
      </c>
      <c r="V31">
        <f t="shared" si="10"/>
        <v>4434.4104700854696</v>
      </c>
      <c r="W31">
        <f t="shared" si="11"/>
        <v>1003.6333333333328</v>
      </c>
    </row>
    <row r="32" spans="1:24" x14ac:dyDescent="0.3">
      <c r="A32" s="8">
        <v>47239</v>
      </c>
      <c r="B32" s="19">
        <f t="shared" si="0"/>
        <v>5277.0333333333338</v>
      </c>
      <c r="C32" s="19">
        <f t="shared" si="12"/>
        <v>0</v>
      </c>
      <c r="D32" s="19">
        <f t="shared" si="1"/>
        <v>0</v>
      </c>
      <c r="E32" s="19">
        <f t="shared" si="14"/>
        <v>-1055.4066666666668</v>
      </c>
      <c r="F32" s="19">
        <f t="shared" si="13"/>
        <v>0</v>
      </c>
      <c r="G32" s="19">
        <f t="shared" si="2"/>
        <v>5277.0333333333338</v>
      </c>
      <c r="H32" s="20">
        <f t="shared" si="3"/>
        <v>3145.2163833333334</v>
      </c>
      <c r="I32" s="21">
        <f t="shared" si="4"/>
        <v>1076.4102833333336</v>
      </c>
      <c r="O32">
        <f t="shared" si="5"/>
        <v>5277.0333333333338</v>
      </c>
      <c r="P32">
        <f t="shared" si="6"/>
        <v>2029</v>
      </c>
      <c r="Q32">
        <f>COUNTIFS($A$2:$A32,"&gt;="&amp;DATE(YEAR($A32),1,1),$A$2:$A32,"&lt;="&amp;$A32)</f>
        <v>5</v>
      </c>
      <c r="R32">
        <f>SUMIFS($O$2:$O32,$P$2:$P32,$P32)</f>
        <v>26657.118803418802</v>
      </c>
      <c r="S32">
        <f t="shared" si="7"/>
        <v>3746.180854700855</v>
      </c>
      <c r="T32">
        <f t="shared" si="8"/>
        <v>605.05523076923077</v>
      </c>
      <c r="U32">
        <f t="shared" si="9"/>
        <v>1159.5846679487179</v>
      </c>
      <c r="V32">
        <f t="shared" si="10"/>
        <v>5510.8207534188032</v>
      </c>
      <c r="W32">
        <f t="shared" si="11"/>
        <v>1076.4102833333336</v>
      </c>
    </row>
    <row r="33" spans="1:23" x14ac:dyDescent="0.3">
      <c r="A33" s="8">
        <v>47270</v>
      </c>
      <c r="B33" s="19">
        <f t="shared" si="0"/>
        <v>5277.0333333333338</v>
      </c>
      <c r="C33" s="19">
        <f t="shared" si="12"/>
        <v>5225.8</v>
      </c>
      <c r="D33" s="19">
        <f t="shared" si="1"/>
        <v>0</v>
      </c>
      <c r="E33" s="19">
        <f t="shared" si="14"/>
        <v>-1055.4066666666668</v>
      </c>
      <c r="F33" s="19">
        <f t="shared" si="13"/>
        <v>1544.6850000000002</v>
      </c>
      <c r="G33" s="19">
        <f t="shared" si="2"/>
        <v>12047.518333333333</v>
      </c>
      <c r="H33" s="20">
        <f t="shared" si="3"/>
        <v>12704.484878995729</v>
      </c>
      <c r="I33" s="21">
        <f t="shared" si="4"/>
        <v>4466.3667876709396</v>
      </c>
      <c r="O33">
        <f t="shared" si="5"/>
        <v>12047.518333333333</v>
      </c>
      <c r="P33">
        <f t="shared" si="6"/>
        <v>2029</v>
      </c>
      <c r="Q33">
        <f>COUNTIFS($A$2:$A33,"&gt;="&amp;DATE(YEAR($A33),1,1),$A$2:$A33,"&lt;="&amp;$A33)</f>
        <v>6</v>
      </c>
      <c r="R33">
        <f>SUMIFS($O$2:$O33,$P$2:$P33,$P33)</f>
        <v>38704.637136752135</v>
      </c>
      <c r="S33">
        <f t="shared" si="7"/>
        <v>7181.854854700854</v>
      </c>
      <c r="T33">
        <f t="shared" si="8"/>
        <v>1111.6809709401707</v>
      </c>
      <c r="U33">
        <f t="shared" si="9"/>
        <v>1683.6517154487178</v>
      </c>
      <c r="V33">
        <f t="shared" si="10"/>
        <v>9977.1875410897428</v>
      </c>
      <c r="W33">
        <f t="shared" si="11"/>
        <v>4466.3667876709396</v>
      </c>
    </row>
    <row r="34" spans="1:23" x14ac:dyDescent="0.3">
      <c r="A34" s="8">
        <v>47300</v>
      </c>
      <c r="B34" s="19">
        <f t="shared" ref="B34:B51" si="15">IF($A34&gt;=DATE(2030,5,1),Base_Annual_Salary*(1+Raise_Pct_May2027)*(1+Raise_Pct_May2028)*(1+Raise_Pct_May2029)*(1+Raise_Pct_May2030)/12,IF($A34&gt;=DATE(2029,5,1),Base_Annual_Salary*(1+Raise_Pct_May2027)*(1+Raise_Pct_May2028)*(1+Raise_Pct_May2029)/12,IF($A34&gt;=DATE(2028,5,1),Base_Annual_Salary*(1+Raise_Pct_May2027)*(1+Raise_Pct_May2028)/12,IF($A34&gt;=DATE(2027,5,1),Base_Annual_Salary*(1+Raise_Pct_May2027)/12,Base_Annual_Salary/12))))</f>
        <v>5277.0333333333338</v>
      </c>
      <c r="C34" s="19">
        <f t="shared" si="12"/>
        <v>0</v>
      </c>
      <c r="D34" s="19">
        <f t="shared" ref="D34:D51" si="16">SUMIFS($L$2:$L$9,$K$2:$K$9,"&gt;="&amp;$A34,$K$2:$K$9,"&lt;"&amp;EDATE($A34,1))</f>
        <v>0</v>
      </c>
      <c r="E34" s="19">
        <f t="shared" ref="E34:E50" si="17">-B34*ESPP_Contrib_Pct</f>
        <v>-1055.4066666666668</v>
      </c>
      <c r="F34" s="19">
        <f t="shared" si="13"/>
        <v>0</v>
      </c>
      <c r="G34" s="19">
        <f t="shared" ref="G34:G51" si="18">SUM(B34,C34,D34,F34)</f>
        <v>5277.0333333333338</v>
      </c>
      <c r="H34" s="20">
        <f t="shared" ref="H34:H51" si="19">G34-I34+E34+IF($A34=DATE(2026,11,1),Relocation_Net,0)+IF(AND(YEAR($A34)=2026,MONTH($A34)=12),2280/EUR_to_USD+ABS($E$2),IF(MONTH($A34)=12,-SUMIFS($E$2:$E$51,$A$2:$A$51,"&gt;="&amp;DATE(YEAR($A34),6,1),$A$2:$A$51,"&lt;="&amp;DATE(YEAR($A34),11,1)),IF(MONTH($A34)=6,-SUMIFS($E$2:$E$51,$A$2:$A$51,"&gt;="&amp;DATE(YEAR($A34)-1,12,1),$A$2:$A$51,"&lt;="&amp;DATE(YEAR($A34),5,1)),0)))</f>
        <v>3173.2147166666673</v>
      </c>
      <c r="I34" s="21">
        <f t="shared" ref="I34:I51" si="20">$W34</f>
        <v>1048.4119499999997</v>
      </c>
      <c r="O34">
        <f t="shared" ref="O34:O51" si="21">G34</f>
        <v>5277.0333333333338</v>
      </c>
      <c r="P34">
        <f t="shared" ref="P34:P51" si="22">YEAR($A34)</f>
        <v>2029</v>
      </c>
      <c r="Q34">
        <f>COUNTIFS($A$2:$A34,"&gt;="&amp;DATE(YEAR($A34),1,1),$A$2:$A34,"&lt;="&amp;$A34)</f>
        <v>7</v>
      </c>
      <c r="R34">
        <f>SUMIFS($O$2:$O34,$P$2:$P34,$P34)</f>
        <v>43981.670470085468</v>
      </c>
      <c r="S34">
        <f t="shared" ref="S34:S51" si="23">MAX(0,IRL_StdRate*MIN($R34,IRL_StdBand*$Q34/12)+IRL_HighRate*MAX(0,$R34-IRL_StdBand*$Q34/12)-(IRL_PersonalCredit+IRL_EmployeeCredit)*$Q34/12)</f>
        <v>7909.3348547008536</v>
      </c>
      <c r="T34">
        <f t="shared" ref="T34:T51" si="24">USC_R1*MIN($R34,USC_T1*$Q34/12)+USC_R2*MAX(0,MIN($R34,USC_T2*$Q34/12)-USC_T1*$Q34/12)+USC_R3*MAX(0,MIN($R34,USC_T3*$Q34/12)-USC_T2*$Q34/12)+USC_R4*MAX(0,$R34-USC_T3*$Q34/12)</f>
        <v>1203.0619709401708</v>
      </c>
      <c r="U34">
        <f t="shared" ref="U34:U51" si="25">IRL_PRSI_Rate*$R34</f>
        <v>1913.2026654487177</v>
      </c>
      <c r="V34">
        <f t="shared" ref="V34:V51" si="26">$S34+$T34+$U34</f>
        <v>11025.599491089743</v>
      </c>
      <c r="W34">
        <f t="shared" si="11"/>
        <v>1048.4119499999997</v>
      </c>
    </row>
    <row r="35" spans="1:23" x14ac:dyDescent="0.3">
      <c r="A35" s="8">
        <v>47331</v>
      </c>
      <c r="B35" s="19">
        <f t="shared" si="15"/>
        <v>5277.0333333333338</v>
      </c>
      <c r="C35" s="19">
        <f t="shared" si="12"/>
        <v>0</v>
      </c>
      <c r="D35" s="19">
        <f t="shared" si="16"/>
        <v>0</v>
      </c>
      <c r="E35" s="19">
        <f t="shared" si="17"/>
        <v>-1055.4066666666668</v>
      </c>
      <c r="F35" s="19">
        <f t="shared" si="13"/>
        <v>0</v>
      </c>
      <c r="G35" s="19">
        <f t="shared" si="18"/>
        <v>5277.0333333333338</v>
      </c>
      <c r="H35" s="20">
        <f t="shared" si="19"/>
        <v>3173.2147166666691</v>
      </c>
      <c r="I35" s="21">
        <f t="shared" si="20"/>
        <v>1048.4119499999979</v>
      </c>
      <c r="O35">
        <f t="shared" si="21"/>
        <v>5277.0333333333338</v>
      </c>
      <c r="P35">
        <f t="shared" si="22"/>
        <v>2029</v>
      </c>
      <c r="Q35">
        <f>COUNTIFS($A$2:$A35,"&gt;="&amp;DATE(YEAR($A35),1,1),$A$2:$A35,"&lt;="&amp;$A35)</f>
        <v>8</v>
      </c>
      <c r="R35">
        <f>SUMIFS($O$2:$O35,$P$2:$P35,$P35)</f>
        <v>49258.703803418801</v>
      </c>
      <c r="S35">
        <f t="shared" si="23"/>
        <v>8636.8148547008532</v>
      </c>
      <c r="T35">
        <f t="shared" si="24"/>
        <v>1294.4429709401709</v>
      </c>
      <c r="U35">
        <f t="shared" si="25"/>
        <v>2142.7536154487175</v>
      </c>
      <c r="V35">
        <f t="shared" si="26"/>
        <v>12074.01144108974</v>
      </c>
      <c r="W35">
        <f t="shared" ref="W35:W51" si="27">$V35-IF($P35=$P34,$V34,0)</f>
        <v>1048.4119499999979</v>
      </c>
    </row>
    <row r="36" spans="1:23" x14ac:dyDescent="0.3">
      <c r="A36" s="8">
        <v>47362</v>
      </c>
      <c r="B36" s="19">
        <f t="shared" si="15"/>
        <v>5277.0333333333338</v>
      </c>
      <c r="C36" s="19">
        <f t="shared" si="12"/>
        <v>0</v>
      </c>
      <c r="D36" s="19">
        <f t="shared" si="16"/>
        <v>0</v>
      </c>
      <c r="E36" s="19">
        <f t="shared" si="17"/>
        <v>-1055.4066666666668</v>
      </c>
      <c r="F36" s="19">
        <f t="shared" si="13"/>
        <v>0</v>
      </c>
      <c r="G36" s="19">
        <f t="shared" si="18"/>
        <v>5277.0333333333338</v>
      </c>
      <c r="H36" s="20">
        <f t="shared" si="19"/>
        <v>3173.2147166666655</v>
      </c>
      <c r="I36" s="21">
        <f t="shared" si="20"/>
        <v>1048.4119500000015</v>
      </c>
      <c r="O36">
        <f t="shared" si="21"/>
        <v>5277.0333333333338</v>
      </c>
      <c r="P36">
        <f t="shared" si="22"/>
        <v>2029</v>
      </c>
      <c r="Q36">
        <f>COUNTIFS($A$2:$A36,"&gt;="&amp;DATE(YEAR($A36),1,1),$A$2:$A36,"&lt;="&amp;$A36)</f>
        <v>9</v>
      </c>
      <c r="R36">
        <f>SUMIFS($O$2:$O36,$P$2:$P36,$P36)</f>
        <v>54535.737136752134</v>
      </c>
      <c r="S36">
        <f t="shared" si="23"/>
        <v>9364.2948547008527</v>
      </c>
      <c r="T36">
        <f t="shared" si="24"/>
        <v>1385.8239709401707</v>
      </c>
      <c r="U36">
        <f t="shared" si="25"/>
        <v>2372.3045654487178</v>
      </c>
      <c r="V36">
        <f t="shared" si="26"/>
        <v>13122.423391089742</v>
      </c>
      <c r="W36">
        <f t="shared" si="27"/>
        <v>1048.4119500000015</v>
      </c>
    </row>
    <row r="37" spans="1:23" x14ac:dyDescent="0.3">
      <c r="A37" s="8">
        <v>47392</v>
      </c>
      <c r="B37" s="19">
        <f t="shared" si="15"/>
        <v>5277.0333333333338</v>
      </c>
      <c r="C37" s="19">
        <f t="shared" si="12"/>
        <v>0</v>
      </c>
      <c r="D37" s="19">
        <f t="shared" si="16"/>
        <v>0</v>
      </c>
      <c r="E37" s="19">
        <f t="shared" si="17"/>
        <v>-1055.4066666666668</v>
      </c>
      <c r="F37" s="19">
        <f t="shared" si="13"/>
        <v>0</v>
      </c>
      <c r="G37" s="19">
        <f t="shared" si="18"/>
        <v>5277.0333333333338</v>
      </c>
      <c r="H37" s="20">
        <f t="shared" si="19"/>
        <v>3173.2147166666655</v>
      </c>
      <c r="I37" s="21">
        <f t="shared" si="20"/>
        <v>1048.4119500000015</v>
      </c>
      <c r="O37">
        <f t="shared" si="21"/>
        <v>5277.0333333333338</v>
      </c>
      <c r="P37">
        <f t="shared" si="22"/>
        <v>2029</v>
      </c>
      <c r="Q37">
        <f>COUNTIFS($A$2:$A37,"&gt;="&amp;DATE(YEAR($A37),1,1),$A$2:$A37,"&lt;="&amp;$A37)</f>
        <v>10</v>
      </c>
      <c r="R37">
        <f>SUMIFS($O$2:$O37,$P$2:$P37,$P37)</f>
        <v>59812.770470085467</v>
      </c>
      <c r="S37">
        <f t="shared" si="23"/>
        <v>10091.774854700856</v>
      </c>
      <c r="T37">
        <f t="shared" si="24"/>
        <v>1477.2049709401706</v>
      </c>
      <c r="U37">
        <f t="shared" si="25"/>
        <v>2601.8555154487176</v>
      </c>
      <c r="V37">
        <f t="shared" si="26"/>
        <v>14170.835341089743</v>
      </c>
      <c r="W37">
        <f t="shared" si="27"/>
        <v>1048.4119500000015</v>
      </c>
    </row>
    <row r="38" spans="1:23" x14ac:dyDescent="0.3">
      <c r="A38" s="8">
        <v>47423</v>
      </c>
      <c r="B38" s="19">
        <f t="shared" si="15"/>
        <v>5277.0333333333338</v>
      </c>
      <c r="C38" s="19">
        <f t="shared" si="12"/>
        <v>0</v>
      </c>
      <c r="D38" s="19">
        <f t="shared" si="16"/>
        <v>2250</v>
      </c>
      <c r="E38" s="19">
        <f t="shared" si="17"/>
        <v>-1055.4066666666668</v>
      </c>
      <c r="F38" s="19">
        <f t="shared" si="13"/>
        <v>0</v>
      </c>
      <c r="G38" s="19">
        <f t="shared" si="18"/>
        <v>7527.0333333333338</v>
      </c>
      <c r="H38" s="20">
        <f t="shared" si="19"/>
        <v>4245.3397166666655</v>
      </c>
      <c r="I38" s="21">
        <f t="shared" si="20"/>
        <v>2226.2869500000015</v>
      </c>
      <c r="O38">
        <f t="shared" si="21"/>
        <v>7527.0333333333338</v>
      </c>
      <c r="P38">
        <f t="shared" si="22"/>
        <v>2029</v>
      </c>
      <c r="Q38">
        <f>COUNTIFS($A$2:$A38,"&gt;="&amp;DATE(YEAR($A38),1,1),$A$2:$A38,"&lt;="&amp;$A38)</f>
        <v>11</v>
      </c>
      <c r="R38">
        <f>SUMIFS($O$2:$O38,$P$2:$P38,$P38)</f>
        <v>67339.803803418807</v>
      </c>
      <c r="S38">
        <f t="shared" si="23"/>
        <v>11719.254854700856</v>
      </c>
      <c r="T38">
        <f t="shared" si="24"/>
        <v>1748.5859709401711</v>
      </c>
      <c r="U38">
        <f t="shared" si="25"/>
        <v>2929.2814654487179</v>
      </c>
      <c r="V38">
        <f t="shared" si="26"/>
        <v>16397.122291089745</v>
      </c>
      <c r="W38">
        <f t="shared" si="27"/>
        <v>2226.2869500000015</v>
      </c>
    </row>
    <row r="39" spans="1:23" ht="15" customHeight="1" thickBot="1" x14ac:dyDescent="0.35">
      <c r="A39" s="45">
        <v>47453</v>
      </c>
      <c r="B39" s="28">
        <f t="shared" si="15"/>
        <v>5277.0333333333338</v>
      </c>
      <c r="C39" s="28">
        <f t="shared" si="12"/>
        <v>7519.7725000000009</v>
      </c>
      <c r="D39" s="28">
        <f t="shared" si="16"/>
        <v>0</v>
      </c>
      <c r="E39" s="28">
        <f t="shared" si="17"/>
        <v>-1055.4066666666668</v>
      </c>
      <c r="F39" s="28">
        <f t="shared" si="13"/>
        <v>1583.1100000000001</v>
      </c>
      <c r="G39" s="28">
        <f t="shared" si="18"/>
        <v>14379.915833333336</v>
      </c>
      <c r="H39" s="29">
        <f t="shared" si="19"/>
        <v>13843.178227916669</v>
      </c>
      <c r="I39" s="21">
        <f t="shared" si="20"/>
        <v>5813.7709387499999</v>
      </c>
      <c r="O39">
        <f t="shared" si="21"/>
        <v>14379.915833333336</v>
      </c>
      <c r="P39">
        <f t="shared" si="22"/>
        <v>2029</v>
      </c>
      <c r="Q39">
        <f>COUNTIFS($A$2:$A39,"&gt;="&amp;DATE(YEAR($A39),1,1),$A$2:$A39,"&lt;="&amp;$A39)</f>
        <v>12</v>
      </c>
      <c r="R39">
        <f>SUMIFS($O$2:$O39,$P$2:$P39,$P39)</f>
        <v>81719.719636752139</v>
      </c>
      <c r="S39">
        <f t="shared" si="23"/>
        <v>16087.887854700857</v>
      </c>
      <c r="T39">
        <f t="shared" si="24"/>
        <v>2568.1975709401709</v>
      </c>
      <c r="U39">
        <f t="shared" si="25"/>
        <v>3554.8078041987178</v>
      </c>
      <c r="V39">
        <f t="shared" si="26"/>
        <v>22210.893229839745</v>
      </c>
      <c r="W39">
        <f t="shared" si="27"/>
        <v>5813.7709387499999</v>
      </c>
    </row>
    <row r="40" spans="1:23" ht="15" customHeight="1" thickTop="1" x14ac:dyDescent="0.3">
      <c r="A40" s="25">
        <v>47484</v>
      </c>
      <c r="B40" s="22">
        <f t="shared" si="15"/>
        <v>5277.0333333333338</v>
      </c>
      <c r="C40" s="22">
        <f t="shared" si="12"/>
        <v>0</v>
      </c>
      <c r="D40" s="22">
        <f t="shared" si="16"/>
        <v>0</v>
      </c>
      <c r="E40" s="22">
        <f t="shared" si="17"/>
        <v>-1055.4066666666668</v>
      </c>
      <c r="F40" s="22">
        <f t="shared" si="13"/>
        <v>0</v>
      </c>
      <c r="G40" s="22">
        <f t="shared" si="18"/>
        <v>5277.0333333333338</v>
      </c>
      <c r="H40" s="20">
        <f t="shared" si="19"/>
        <v>3145.2163833333334</v>
      </c>
      <c r="I40" s="21">
        <f t="shared" si="20"/>
        <v>1076.4102833333336</v>
      </c>
      <c r="O40">
        <f t="shared" si="21"/>
        <v>5277.0333333333338</v>
      </c>
      <c r="P40">
        <f t="shared" si="22"/>
        <v>2030</v>
      </c>
      <c r="Q40">
        <f>COUNTIFS($A$2:$A40,"&gt;="&amp;DATE(YEAR($A40),1,1),$A$2:$A40,"&lt;="&amp;$A40)</f>
        <v>1</v>
      </c>
      <c r="R40">
        <f>SUMIFS($O$2:$O40,$P$2:$P40,$P40)</f>
        <v>5277.0333333333338</v>
      </c>
      <c r="S40">
        <f t="shared" si="23"/>
        <v>727.48000000000025</v>
      </c>
      <c r="T40">
        <f t="shared" si="24"/>
        <v>119.37933333333334</v>
      </c>
      <c r="U40">
        <f t="shared" si="25"/>
        <v>229.55095</v>
      </c>
      <c r="V40">
        <f t="shared" si="26"/>
        <v>1076.4102833333336</v>
      </c>
      <c r="W40">
        <f t="shared" si="27"/>
        <v>1076.4102833333336</v>
      </c>
    </row>
    <row r="41" spans="1:23" x14ac:dyDescent="0.3">
      <c r="A41" s="8">
        <v>47515</v>
      </c>
      <c r="B41" s="19">
        <f t="shared" si="15"/>
        <v>5277.0333333333338</v>
      </c>
      <c r="C41" s="19">
        <f t="shared" si="12"/>
        <v>0</v>
      </c>
      <c r="D41" s="19">
        <f t="shared" si="16"/>
        <v>0</v>
      </c>
      <c r="E41" s="19">
        <f t="shared" si="17"/>
        <v>-1055.4066666666668</v>
      </c>
      <c r="F41" s="19">
        <f t="shared" si="13"/>
        <v>0</v>
      </c>
      <c r="G41" s="19">
        <f t="shared" si="18"/>
        <v>5277.0333333333338</v>
      </c>
      <c r="H41" s="20">
        <f t="shared" si="19"/>
        <v>3145.2163833333334</v>
      </c>
      <c r="I41" s="21">
        <f t="shared" si="20"/>
        <v>1076.4102833333336</v>
      </c>
      <c r="O41">
        <f t="shared" si="21"/>
        <v>5277.0333333333338</v>
      </c>
      <c r="P41">
        <f t="shared" si="22"/>
        <v>2030</v>
      </c>
      <c r="Q41">
        <f>COUNTIFS($A$2:$A41,"&gt;="&amp;DATE(YEAR($A41),1,1),$A$2:$A41,"&lt;="&amp;$A41)</f>
        <v>2</v>
      </c>
      <c r="R41">
        <f>SUMIFS($O$2:$O41,$P$2:$P41,$P41)</f>
        <v>10554.066666666668</v>
      </c>
      <c r="S41">
        <f t="shared" si="23"/>
        <v>1454.9600000000005</v>
      </c>
      <c r="T41">
        <f t="shared" si="24"/>
        <v>238.75866666666667</v>
      </c>
      <c r="U41">
        <f t="shared" si="25"/>
        <v>459.1019</v>
      </c>
      <c r="V41">
        <f t="shared" si="26"/>
        <v>2152.8205666666672</v>
      </c>
      <c r="W41">
        <f t="shared" si="27"/>
        <v>1076.4102833333336</v>
      </c>
    </row>
    <row r="42" spans="1:23" x14ac:dyDescent="0.3">
      <c r="A42" s="24">
        <v>47543</v>
      </c>
      <c r="B42" s="23">
        <f t="shared" si="15"/>
        <v>5277.0333333333338</v>
      </c>
      <c r="C42" s="23">
        <f t="shared" si="12"/>
        <v>0</v>
      </c>
      <c r="D42" s="23">
        <f t="shared" si="16"/>
        <v>886.75213675213683</v>
      </c>
      <c r="E42" s="23">
        <f t="shared" si="17"/>
        <v>-1055.4066666666668</v>
      </c>
      <c r="F42" s="23">
        <f t="shared" si="13"/>
        <v>0</v>
      </c>
      <c r="G42" s="19">
        <f t="shared" si="18"/>
        <v>6163.7854700854705</v>
      </c>
      <c r="H42" s="20">
        <f t="shared" si="19"/>
        <v>3612.0913833333325</v>
      </c>
      <c r="I42" s="21">
        <f t="shared" si="20"/>
        <v>1496.2874200854712</v>
      </c>
      <c r="O42">
        <f t="shared" si="21"/>
        <v>6163.7854700854705</v>
      </c>
      <c r="P42">
        <f t="shared" si="22"/>
        <v>2030</v>
      </c>
      <c r="Q42">
        <f>COUNTIFS($A$2:$A42,"&gt;="&amp;DATE(YEAR($A42),1,1),$A$2:$A42,"&lt;="&amp;$A42)</f>
        <v>3</v>
      </c>
      <c r="R42">
        <f>SUMIFS($O$2:$O42,$P$2:$P42,$P42)</f>
        <v>16717.852136752139</v>
      </c>
      <c r="S42">
        <f t="shared" si="23"/>
        <v>2537.1408547008559</v>
      </c>
      <c r="T42">
        <f t="shared" si="24"/>
        <v>384.74056410256412</v>
      </c>
      <c r="U42">
        <f t="shared" si="25"/>
        <v>727.22656794871796</v>
      </c>
      <c r="V42">
        <f t="shared" si="26"/>
        <v>3649.1079867521385</v>
      </c>
      <c r="W42">
        <f t="shared" si="27"/>
        <v>1496.2874200854712</v>
      </c>
    </row>
    <row r="43" spans="1:23" x14ac:dyDescent="0.3">
      <c r="A43" s="26">
        <v>47574</v>
      </c>
      <c r="B43" s="27">
        <f t="shared" si="15"/>
        <v>5277.0333333333338</v>
      </c>
      <c r="C43" s="27">
        <f t="shared" si="12"/>
        <v>0</v>
      </c>
      <c r="D43" s="27">
        <f t="shared" si="16"/>
        <v>0</v>
      </c>
      <c r="E43" s="27">
        <f t="shared" si="17"/>
        <v>-1055.4066666666668</v>
      </c>
      <c r="F43" s="27">
        <f t="shared" si="13"/>
        <v>0</v>
      </c>
      <c r="G43" s="19">
        <f t="shared" si="18"/>
        <v>5277.0333333333338</v>
      </c>
      <c r="H43" s="20">
        <f t="shared" si="19"/>
        <v>3145.2163833333343</v>
      </c>
      <c r="I43" s="21">
        <f t="shared" si="20"/>
        <v>1076.4102833333327</v>
      </c>
      <c r="O43">
        <f t="shared" si="21"/>
        <v>5277.0333333333338</v>
      </c>
      <c r="P43">
        <f t="shared" si="22"/>
        <v>2030</v>
      </c>
      <c r="Q43">
        <f>COUNTIFS($A$2:$A43,"&gt;="&amp;DATE(YEAR($A43),1,1),$A$2:$A43,"&lt;="&amp;$A43)</f>
        <v>4</v>
      </c>
      <c r="R43">
        <f>SUMIFS($O$2:$O43,$P$2:$P43,$P43)</f>
        <v>21994.885470085472</v>
      </c>
      <c r="S43">
        <f t="shared" si="23"/>
        <v>3264.6208547008555</v>
      </c>
      <c r="T43">
        <f t="shared" si="24"/>
        <v>504.11989743589754</v>
      </c>
      <c r="U43">
        <f t="shared" si="25"/>
        <v>956.7775179487179</v>
      </c>
      <c r="V43">
        <f t="shared" si="26"/>
        <v>4725.5182700854712</v>
      </c>
      <c r="W43">
        <f t="shared" si="27"/>
        <v>1076.4102833333327</v>
      </c>
    </row>
    <row r="44" spans="1:23" x14ac:dyDescent="0.3">
      <c r="A44" s="25">
        <v>47604</v>
      </c>
      <c r="B44" s="22">
        <f t="shared" si="15"/>
        <v>5435.3443333333335</v>
      </c>
      <c r="C44" s="22">
        <f t="shared" si="12"/>
        <v>0</v>
      </c>
      <c r="D44" s="22">
        <f t="shared" si="16"/>
        <v>0</v>
      </c>
      <c r="E44" s="22">
        <f t="shared" si="17"/>
        <v>-1087.0688666666667</v>
      </c>
      <c r="F44" s="22">
        <f t="shared" si="13"/>
        <v>0</v>
      </c>
      <c r="G44" s="19">
        <f t="shared" si="18"/>
        <v>5435.3443333333335</v>
      </c>
      <c r="H44" s="20">
        <f t="shared" si="19"/>
        <v>3196.9049248333331</v>
      </c>
      <c r="I44" s="21">
        <f t="shared" si="20"/>
        <v>1151.3705418333338</v>
      </c>
      <c r="O44">
        <f t="shared" si="21"/>
        <v>5435.3443333333335</v>
      </c>
      <c r="P44">
        <f t="shared" si="22"/>
        <v>2030</v>
      </c>
      <c r="Q44">
        <f>COUNTIFS($A$2:$A44,"&gt;="&amp;DATE(YEAR($A44),1,1),$A$2:$A44,"&lt;="&amp;$A44)</f>
        <v>5</v>
      </c>
      <c r="R44">
        <f>SUMIFS($O$2:$O44,$P$2:$P44,$P44)</f>
        <v>27430.229803418806</v>
      </c>
      <c r="S44">
        <f t="shared" si="23"/>
        <v>4055.4252547008564</v>
      </c>
      <c r="T44">
        <f t="shared" si="24"/>
        <v>628.24856076923083</v>
      </c>
      <c r="U44">
        <f t="shared" si="25"/>
        <v>1193.214996448718</v>
      </c>
      <c r="V44">
        <f t="shared" si="26"/>
        <v>5876.888811918805</v>
      </c>
      <c r="W44">
        <f t="shared" si="27"/>
        <v>1151.3705418333338</v>
      </c>
    </row>
    <row r="45" spans="1:23" x14ac:dyDescent="0.3">
      <c r="A45" s="8">
        <v>47635</v>
      </c>
      <c r="B45" s="19">
        <f t="shared" si="15"/>
        <v>5435.3443333333335</v>
      </c>
      <c r="C45" s="19">
        <f t="shared" si="12"/>
        <v>8469.6385000000009</v>
      </c>
      <c r="D45" s="19">
        <f t="shared" si="16"/>
        <v>0</v>
      </c>
      <c r="E45" s="19">
        <f t="shared" si="17"/>
        <v>-1087.0688666666667</v>
      </c>
      <c r="F45" s="19">
        <f t="shared" si="13"/>
        <v>1591.0255500000001</v>
      </c>
      <c r="G45" s="19">
        <f t="shared" si="18"/>
        <v>15496.008383333336</v>
      </c>
      <c r="H45" s="20">
        <f t="shared" si="19"/>
        <v>14462.734837820728</v>
      </c>
      <c r="I45" s="21">
        <f t="shared" si="20"/>
        <v>6310.3068788459423</v>
      </c>
      <c r="O45">
        <f t="shared" si="21"/>
        <v>15496.008383333336</v>
      </c>
      <c r="P45">
        <f t="shared" si="22"/>
        <v>2030</v>
      </c>
      <c r="Q45">
        <f>COUNTIFS($A$2:$A45,"&gt;="&amp;DATE(YEAR($A45),1,1),$A$2:$A45,"&lt;="&amp;$A45)</f>
        <v>6</v>
      </c>
      <c r="R45">
        <f>SUMIFS($O$2:$O45,$P$2:$P45,$P45)</f>
        <v>42926.23818675214</v>
      </c>
      <c r="S45">
        <f t="shared" si="23"/>
        <v>8870.4952747008574</v>
      </c>
      <c r="T45">
        <f t="shared" si="24"/>
        <v>1449.4090549401712</v>
      </c>
      <c r="U45">
        <f t="shared" si="25"/>
        <v>1867.2913611237179</v>
      </c>
      <c r="V45">
        <f t="shared" si="26"/>
        <v>12187.195690764747</v>
      </c>
      <c r="W45">
        <f t="shared" si="27"/>
        <v>6310.3068788459423</v>
      </c>
    </row>
    <row r="46" spans="1:23" x14ac:dyDescent="0.3">
      <c r="A46" s="8">
        <v>47665</v>
      </c>
      <c r="B46" s="19">
        <f t="shared" si="15"/>
        <v>5435.3443333333335</v>
      </c>
      <c r="C46" s="19">
        <f t="shared" si="12"/>
        <v>0</v>
      </c>
      <c r="D46" s="19">
        <f t="shared" si="16"/>
        <v>0</v>
      </c>
      <c r="E46" s="19">
        <f t="shared" si="17"/>
        <v>-1087.0688666666667</v>
      </c>
      <c r="F46" s="19">
        <f t="shared" si="13"/>
        <v>0</v>
      </c>
      <c r="G46" s="19">
        <f t="shared" si="18"/>
        <v>5435.3443333333335</v>
      </c>
      <c r="H46" s="20">
        <f t="shared" si="19"/>
        <v>3216.9877081666682</v>
      </c>
      <c r="I46" s="21">
        <f t="shared" si="20"/>
        <v>1131.2877584999987</v>
      </c>
      <c r="O46">
        <f t="shared" si="21"/>
        <v>5435.3443333333335</v>
      </c>
      <c r="P46">
        <f t="shared" si="22"/>
        <v>2030</v>
      </c>
      <c r="Q46">
        <f>COUNTIFS($A$2:$A46,"&gt;="&amp;DATE(YEAR($A46),1,1),$A$2:$A46,"&lt;="&amp;$A46)</f>
        <v>7</v>
      </c>
      <c r="R46">
        <f>SUMIFS($O$2:$O46,$P$2:$P46,$P46)</f>
        <v>48361.582520085474</v>
      </c>
      <c r="S46">
        <f t="shared" si="23"/>
        <v>9661.2996747008565</v>
      </c>
      <c r="T46">
        <f t="shared" si="24"/>
        <v>1553.4549349401714</v>
      </c>
      <c r="U46">
        <f t="shared" si="25"/>
        <v>2103.7288396237182</v>
      </c>
      <c r="V46">
        <f t="shared" si="26"/>
        <v>13318.483449264746</v>
      </c>
      <c r="W46">
        <f t="shared" si="27"/>
        <v>1131.2877584999987</v>
      </c>
    </row>
    <row r="47" spans="1:23" x14ac:dyDescent="0.3">
      <c r="A47" s="8">
        <v>47696</v>
      </c>
      <c r="B47" s="19">
        <f t="shared" si="15"/>
        <v>5435.3443333333335</v>
      </c>
      <c r="C47" s="19">
        <f t="shared" si="12"/>
        <v>0</v>
      </c>
      <c r="D47" s="19">
        <f t="shared" si="16"/>
        <v>0</v>
      </c>
      <c r="E47" s="19">
        <f t="shared" si="17"/>
        <v>-1087.0688666666667</v>
      </c>
      <c r="F47" s="19">
        <f t="shared" si="13"/>
        <v>0</v>
      </c>
      <c r="G47" s="19">
        <f t="shared" si="18"/>
        <v>5435.3443333333335</v>
      </c>
      <c r="H47" s="20">
        <f t="shared" si="19"/>
        <v>3216.9877081666664</v>
      </c>
      <c r="I47" s="21">
        <f t="shared" si="20"/>
        <v>1131.2877585000006</v>
      </c>
      <c r="O47">
        <f t="shared" si="21"/>
        <v>5435.3443333333335</v>
      </c>
      <c r="P47">
        <f t="shared" si="22"/>
        <v>2030</v>
      </c>
      <c r="Q47">
        <f>COUNTIFS($A$2:$A47,"&gt;="&amp;DATE(YEAR($A47),1,1),$A$2:$A47,"&lt;="&amp;$A47)</f>
        <v>8</v>
      </c>
      <c r="R47">
        <f>SUMIFS($O$2:$O47,$P$2:$P47,$P47)</f>
        <v>53796.926853418809</v>
      </c>
      <c r="S47">
        <f t="shared" si="23"/>
        <v>10452.104074700857</v>
      </c>
      <c r="T47">
        <f t="shared" si="24"/>
        <v>1657.5008149401715</v>
      </c>
      <c r="U47">
        <f t="shared" si="25"/>
        <v>2340.1663181237182</v>
      </c>
      <c r="V47">
        <f t="shared" si="26"/>
        <v>14449.771207764747</v>
      </c>
      <c r="W47">
        <f t="shared" si="27"/>
        <v>1131.2877585000006</v>
      </c>
    </row>
    <row r="48" spans="1:23" x14ac:dyDescent="0.3">
      <c r="A48" s="8">
        <v>47727</v>
      </c>
      <c r="B48" s="19">
        <f t="shared" si="15"/>
        <v>5435.3443333333335</v>
      </c>
      <c r="C48" s="19">
        <f t="shared" si="12"/>
        <v>0</v>
      </c>
      <c r="D48" s="19">
        <f t="shared" si="16"/>
        <v>0</v>
      </c>
      <c r="E48" s="19">
        <f t="shared" si="17"/>
        <v>-1087.0688666666667</v>
      </c>
      <c r="F48" s="19">
        <f t="shared" si="13"/>
        <v>0</v>
      </c>
      <c r="G48" s="19">
        <f t="shared" si="18"/>
        <v>5435.3443333333335</v>
      </c>
      <c r="H48" s="20">
        <f t="shared" si="19"/>
        <v>3216.9877081666682</v>
      </c>
      <c r="I48" s="21">
        <f t="shared" si="20"/>
        <v>1131.2877584999987</v>
      </c>
      <c r="O48">
        <f t="shared" si="21"/>
        <v>5435.3443333333335</v>
      </c>
      <c r="P48">
        <f t="shared" si="22"/>
        <v>2030</v>
      </c>
      <c r="Q48">
        <f>COUNTIFS($A$2:$A48,"&gt;="&amp;DATE(YEAR($A48),1,1),$A$2:$A48,"&lt;="&amp;$A48)</f>
        <v>9</v>
      </c>
      <c r="R48">
        <f>SUMIFS($O$2:$O48,$P$2:$P48,$P48)</f>
        <v>59232.271186752143</v>
      </c>
      <c r="S48">
        <f t="shared" si="23"/>
        <v>11242.908474700856</v>
      </c>
      <c r="T48">
        <f t="shared" si="24"/>
        <v>1761.5466949401716</v>
      </c>
      <c r="U48">
        <f t="shared" si="25"/>
        <v>2576.6037966237182</v>
      </c>
      <c r="V48">
        <f t="shared" si="26"/>
        <v>15581.058966264745</v>
      </c>
      <c r="W48">
        <f t="shared" si="27"/>
        <v>1131.2877584999987</v>
      </c>
    </row>
    <row r="49" spans="1:23" x14ac:dyDescent="0.3">
      <c r="A49" s="8">
        <v>47757</v>
      </c>
      <c r="B49" s="19">
        <f t="shared" si="15"/>
        <v>5435.3443333333335</v>
      </c>
      <c r="C49" s="19">
        <f t="shared" si="12"/>
        <v>0</v>
      </c>
      <c r="D49" s="19">
        <f t="shared" si="16"/>
        <v>0</v>
      </c>
      <c r="E49" s="19">
        <f t="shared" si="17"/>
        <v>-1087.0688666666667</v>
      </c>
      <c r="F49" s="19">
        <f t="shared" si="13"/>
        <v>0</v>
      </c>
      <c r="G49" s="19">
        <f t="shared" si="18"/>
        <v>5435.3443333333335</v>
      </c>
      <c r="H49" s="20">
        <f t="shared" si="19"/>
        <v>3216.9877081666627</v>
      </c>
      <c r="I49" s="21">
        <f t="shared" si="20"/>
        <v>1131.2877585000042</v>
      </c>
      <c r="O49">
        <f t="shared" si="21"/>
        <v>5435.3443333333335</v>
      </c>
      <c r="P49">
        <f t="shared" si="22"/>
        <v>2030</v>
      </c>
      <c r="Q49">
        <f>COUNTIFS($A$2:$A49,"&gt;="&amp;DATE(YEAR($A49),1,1),$A$2:$A49,"&lt;="&amp;$A49)</f>
        <v>10</v>
      </c>
      <c r="R49">
        <f>SUMIFS($O$2:$O49,$P$2:$P49,$P49)</f>
        <v>64667.615520085477</v>
      </c>
      <c r="S49">
        <f t="shared" si="23"/>
        <v>12033.712874700861</v>
      </c>
      <c r="T49">
        <f t="shared" si="24"/>
        <v>1865.5925749401715</v>
      </c>
      <c r="U49">
        <f t="shared" si="25"/>
        <v>2813.0412751237182</v>
      </c>
      <c r="V49">
        <f t="shared" si="26"/>
        <v>16712.34672476475</v>
      </c>
      <c r="W49">
        <f t="shared" si="27"/>
        <v>1131.2877585000042</v>
      </c>
    </row>
    <row r="50" spans="1:23" x14ac:dyDescent="0.3">
      <c r="A50" s="8">
        <v>47788</v>
      </c>
      <c r="B50" s="19">
        <f t="shared" si="15"/>
        <v>5435.3443333333335</v>
      </c>
      <c r="C50" s="19">
        <f t="shared" si="12"/>
        <v>0</v>
      </c>
      <c r="D50" s="19">
        <f t="shared" si="16"/>
        <v>2250</v>
      </c>
      <c r="E50" s="19">
        <f t="shared" si="17"/>
        <v>-1087.0688666666667</v>
      </c>
      <c r="F50" s="19">
        <f t="shared" si="13"/>
        <v>0</v>
      </c>
      <c r="G50" s="19">
        <f t="shared" si="18"/>
        <v>7685.3443333333335</v>
      </c>
      <c r="H50" s="20">
        <f t="shared" si="19"/>
        <v>4289.1127081666682</v>
      </c>
      <c r="I50" s="21">
        <f t="shared" si="20"/>
        <v>2309.1627584999987</v>
      </c>
      <c r="O50">
        <f t="shared" si="21"/>
        <v>7685.3443333333335</v>
      </c>
      <c r="P50">
        <f t="shared" si="22"/>
        <v>2030</v>
      </c>
      <c r="Q50">
        <f>COUNTIFS($A$2:$A50,"&gt;="&amp;DATE(YEAR($A50),1,1),$A$2:$A50,"&lt;="&amp;$A50)</f>
        <v>11</v>
      </c>
      <c r="R50">
        <f>SUMIFS($O$2:$O50,$P$2:$P50,$P50)</f>
        <v>72352.959853418812</v>
      </c>
      <c r="S50">
        <f t="shared" si="23"/>
        <v>13724.517274700858</v>
      </c>
      <c r="T50">
        <f t="shared" si="24"/>
        <v>2149.6384549401714</v>
      </c>
      <c r="U50">
        <f t="shared" si="25"/>
        <v>3147.3537536237181</v>
      </c>
      <c r="V50">
        <f t="shared" si="26"/>
        <v>19021.509483264748</v>
      </c>
      <c r="W50">
        <f t="shared" si="27"/>
        <v>2309.1627584999987</v>
      </c>
    </row>
    <row r="51" spans="1:23" ht="15" customHeight="1" thickBot="1" x14ac:dyDescent="0.35">
      <c r="A51" s="45">
        <v>47818</v>
      </c>
      <c r="B51" s="28">
        <f t="shared" si="15"/>
        <v>5435.3443333333335</v>
      </c>
      <c r="C51" s="28">
        <f t="shared" si="12"/>
        <v>8397.6069950000019</v>
      </c>
      <c r="D51" s="28">
        <f t="shared" si="16"/>
        <v>0</v>
      </c>
      <c r="E51" s="28">
        <v>0</v>
      </c>
      <c r="F51" s="28">
        <f t="shared" si="13"/>
        <v>1630.6033</v>
      </c>
      <c r="G51" s="28">
        <f t="shared" si="18"/>
        <v>15463.554628333337</v>
      </c>
      <c r="H51" s="29">
        <f t="shared" si="19"/>
        <v>15604.911980400837</v>
      </c>
      <c r="I51" s="21">
        <f t="shared" si="20"/>
        <v>6381.0558479325009</v>
      </c>
      <c r="O51">
        <f t="shared" si="21"/>
        <v>15463.554628333337</v>
      </c>
      <c r="P51">
        <f t="shared" si="22"/>
        <v>2030</v>
      </c>
      <c r="Q51">
        <f>COUNTIFS($A$2:$A51,"&gt;="&amp;DATE(YEAR($A51),1,1),$A$2:$A51,"&lt;="&amp;$A51)</f>
        <v>12</v>
      </c>
      <c r="R51">
        <f>SUMIFS($O$2:$O51,$P$2:$P51,$P51)</f>
        <v>87816.51448175215</v>
      </c>
      <c r="S51">
        <f t="shared" si="23"/>
        <v>18526.605792700859</v>
      </c>
      <c r="T51">
        <f t="shared" si="24"/>
        <v>3055.9411585401722</v>
      </c>
      <c r="U51">
        <f t="shared" si="25"/>
        <v>3820.0183799562183</v>
      </c>
      <c r="V51">
        <f t="shared" si="26"/>
        <v>25402.565331197249</v>
      </c>
      <c r="W51">
        <f t="shared" si="27"/>
        <v>6381.0558479325009</v>
      </c>
    </row>
    <row r="52" spans="1:23" ht="15" customHeight="1" thickTop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43</vt:i4>
      </vt:variant>
    </vt:vector>
  </HeadingPairs>
  <TitlesOfParts>
    <vt:vector size="45" baseType="lpstr">
      <vt:lpstr>Inputs</vt:lpstr>
      <vt:lpstr>Monthly Schedule</vt:lpstr>
      <vt:lpstr>Base_Annual_Salary</vt:lpstr>
      <vt:lpstr>Bonus_Pct_P1</vt:lpstr>
      <vt:lpstr>Bonus_Pct_P2</vt:lpstr>
      <vt:lpstr>Bonus_Pct_P3</vt:lpstr>
      <vt:lpstr>Bonus_Pct_P4</vt:lpstr>
      <vt:lpstr>Bonus_Pct_P5</vt:lpstr>
      <vt:lpstr>ESPP_Contrib_Pct</vt:lpstr>
      <vt:lpstr>ESPP_Discount</vt:lpstr>
      <vt:lpstr>EUR_to_USD</vt:lpstr>
      <vt:lpstr>IRL_EmployeeCredit</vt:lpstr>
      <vt:lpstr>IRL_HighRate</vt:lpstr>
      <vt:lpstr>IRL_PersonalCredit</vt:lpstr>
      <vt:lpstr>IRL_PRSI_Rate</vt:lpstr>
      <vt:lpstr>IRL_StdBand</vt:lpstr>
      <vt:lpstr>IRL_StdRate</vt:lpstr>
      <vt:lpstr>Living_Expenses_EGP_Monthly_2026</vt:lpstr>
      <vt:lpstr>Living_Expenses_EGP_Monthly_2027</vt:lpstr>
      <vt:lpstr>Living_Expenses_EGP_Monthly_2028</vt:lpstr>
      <vt:lpstr>Living_Expenses_EGP_Monthly_2029</vt:lpstr>
      <vt:lpstr>Living_Expenses_EGP_Monthly_2030</vt:lpstr>
      <vt:lpstr>Living_Expenses_EUR_Monthly_2026</vt:lpstr>
      <vt:lpstr>Living_Expenses_EUR_Monthly_2027</vt:lpstr>
      <vt:lpstr>Living_Expenses_EUR_Monthly_2028</vt:lpstr>
      <vt:lpstr>Living_Expenses_EUR_Monthly_2029</vt:lpstr>
      <vt:lpstr>Living_Expenses_EUR_Monthly_2030</vt:lpstr>
      <vt:lpstr>QuarterKey_Range</vt:lpstr>
      <vt:lpstr>QuarterMult_Range</vt:lpstr>
      <vt:lpstr>Raise_Pct_May2027</vt:lpstr>
      <vt:lpstr>Raise_Pct_May2028</vt:lpstr>
      <vt:lpstr>Raise_Pct_May2029</vt:lpstr>
      <vt:lpstr>Raise_Pct_May2030</vt:lpstr>
      <vt:lpstr>Relocation_Net</vt:lpstr>
      <vt:lpstr>RSU_Grant_Date</vt:lpstr>
      <vt:lpstr>RSU_Grant_Value</vt:lpstr>
      <vt:lpstr>RSU_Grant_Value_EUR</vt:lpstr>
      <vt:lpstr>USC_R1</vt:lpstr>
      <vt:lpstr>USC_R2</vt:lpstr>
      <vt:lpstr>USC_R3</vt:lpstr>
      <vt:lpstr>USC_R4</vt:lpstr>
      <vt:lpstr>USC_T1</vt:lpstr>
      <vt:lpstr>USC_T2</vt:lpstr>
      <vt:lpstr>USC_T3</vt:lpstr>
      <vt:lpstr>USD_to_EGP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Fahmy, Omar</dc:creator>
  <cp:keywords/>
  <dc:description/>
  <cp:lastModifiedBy>Fahmy, Omar</cp:lastModifiedBy>
  <cp:revision/>
  <dcterms:created xsi:type="dcterms:W3CDTF">2026-05-17T21:09:37Z</dcterms:created>
  <dcterms:modified xsi:type="dcterms:W3CDTF">2026-05-22T12:41:06Z</dcterms:modified>
  <cp:category/>
  <cp:contentStatus/>
</cp:coreProperties>
</file>