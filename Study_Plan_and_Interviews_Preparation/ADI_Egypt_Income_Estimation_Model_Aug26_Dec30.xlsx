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ersonal_Stuff\Study_Plan_and_Interviews_Preparation\"/>
    </mc:Choice>
  </mc:AlternateContent>
  <xr:revisionPtr revIDLastSave="0" documentId="13_ncr:1_{4BE32CE4-0662-437A-8A62-1F87218208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puts" sheetId="1" r:id="rId1"/>
    <sheet name="Monthly Schedule" sheetId="2" r:id="rId2"/>
  </sheets>
  <definedNames>
    <definedName name="Base_Annual_Salary">Inputs!$B$4</definedName>
    <definedName name="Bonus_Pct_P1">Inputs!$B$10</definedName>
    <definedName name="Bonus_Pct_P2">Inputs!$B$11</definedName>
    <definedName name="Bonus_Pct_P3">Inputs!$B$12</definedName>
    <definedName name="Bonus_Pct_P4">Inputs!$B$13</definedName>
    <definedName name="Bonus_Pct_P5">Inputs!$B$14</definedName>
    <definedName name="ESPP_Contrib_Pct">Inputs!$B$19</definedName>
    <definedName name="ESPP_Discount">Inputs!$B$20</definedName>
    <definedName name="Living_Expenses_EGP_Monthly_2026">Inputs!$B$24</definedName>
    <definedName name="Living_Expenses_EGP_Monthly_2027">Inputs!$B$25</definedName>
    <definedName name="Living_Expenses_EGP_Monthly_2028">Inputs!$B$26</definedName>
    <definedName name="Living_Expenses_EGP_Monthly_2029">Inputs!$B$27</definedName>
    <definedName name="Living_Expenses_EGP_Monthly_2030">Inputs!$B$28</definedName>
    <definedName name="QuarterKey_Range">Inputs!$D$5:$D$22</definedName>
    <definedName name="QuarterMult_Range">Inputs!$F$5:$F$22</definedName>
    <definedName name="Raise_Pct_May2027">Inputs!$B$5</definedName>
    <definedName name="Raise_Pct_May2028">Inputs!$B$6</definedName>
    <definedName name="Raise_Pct_May2029">Inputs!$B$7</definedName>
    <definedName name="Raise_Pct_May2030">Inputs!$B$8</definedName>
    <definedName name="RSU_Grant_Date">Inputs!$B$17</definedName>
    <definedName name="RSU_Grant_Value">Inputs!$B$16</definedName>
    <definedName name="Tax_Pct">Inputs!$B$23</definedName>
    <definedName name="USD_to_EGP">Inputs!$B$29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5" i="1" l="1"/>
  <c r="B26" i="1" s="1"/>
  <c r="B27" i="1" s="1"/>
  <c r="B28" i="1" s="1"/>
  <c r="B2" i="2"/>
  <c r="E2" i="2" s="1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L33" i="2"/>
  <c r="K33" i="2"/>
  <c r="A33" i="2"/>
  <c r="L32" i="2"/>
  <c r="K32" i="2"/>
  <c r="A32" i="2"/>
  <c r="L31" i="2"/>
  <c r="K31" i="2"/>
  <c r="A31" i="2"/>
  <c r="L30" i="2"/>
  <c r="K30" i="2"/>
  <c r="A30" i="2"/>
  <c r="L29" i="2"/>
  <c r="K29" i="2"/>
  <c r="A29" i="2"/>
  <c r="L28" i="2"/>
  <c r="K28" i="2"/>
  <c r="A28" i="2"/>
  <c r="L27" i="2"/>
  <c r="K27" i="2"/>
  <c r="A27" i="2"/>
  <c r="L26" i="2"/>
  <c r="K26" i="2"/>
  <c r="A26" i="2"/>
  <c r="L25" i="2"/>
  <c r="K25" i="2"/>
  <c r="A25" i="2"/>
  <c r="L24" i="2"/>
  <c r="K24" i="2"/>
  <c r="A24" i="2"/>
  <c r="L23" i="2"/>
  <c r="K23" i="2"/>
  <c r="A23" i="2"/>
  <c r="L22" i="2"/>
  <c r="K22" i="2"/>
  <c r="A22" i="2"/>
  <c r="L21" i="2"/>
  <c r="K21" i="2"/>
  <c r="A21" i="2"/>
  <c r="L20" i="2"/>
  <c r="K20" i="2"/>
  <c r="A20" i="2"/>
  <c r="L19" i="2"/>
  <c r="K19" i="2"/>
  <c r="A19" i="2"/>
  <c r="L18" i="2"/>
  <c r="K18" i="2"/>
  <c r="A18" i="2"/>
  <c r="L17" i="2"/>
  <c r="K17" i="2"/>
  <c r="A17" i="2"/>
  <c r="L16" i="2"/>
  <c r="K16" i="2"/>
  <c r="A16" i="2"/>
  <c r="L15" i="2"/>
  <c r="K15" i="2"/>
  <c r="A15" i="2"/>
  <c r="L14" i="2"/>
  <c r="K14" i="2"/>
  <c r="A14" i="2"/>
  <c r="L13" i="2"/>
  <c r="K13" i="2"/>
  <c r="A13" i="2"/>
  <c r="L12" i="2"/>
  <c r="K12" i="2"/>
  <c r="A12" i="2"/>
  <c r="L11" i="2"/>
  <c r="K11" i="2"/>
  <c r="A11" i="2"/>
  <c r="L10" i="2"/>
  <c r="K10" i="2"/>
  <c r="A10" i="2"/>
  <c r="L9" i="2"/>
  <c r="K9" i="2"/>
  <c r="A9" i="2"/>
  <c r="L8" i="2"/>
  <c r="K8" i="2"/>
  <c r="A8" i="2"/>
  <c r="L7" i="2"/>
  <c r="K7" i="2"/>
  <c r="A7" i="2"/>
  <c r="L6" i="2"/>
  <c r="K6" i="2"/>
  <c r="A6" i="2"/>
  <c r="L5" i="2"/>
  <c r="K5" i="2"/>
  <c r="A5" i="2"/>
  <c r="L4" i="2"/>
  <c r="K4" i="2"/>
  <c r="A4" i="2"/>
  <c r="L3" i="2"/>
  <c r="K3" i="2"/>
  <c r="A3" i="2"/>
  <c r="L2" i="2"/>
  <c r="K2" i="2"/>
  <c r="F2" i="2"/>
  <c r="D2" i="2"/>
  <c r="C2" i="2"/>
  <c r="G2" i="2" l="1"/>
  <c r="F3" i="2"/>
  <c r="D3" i="2"/>
  <c r="C3" i="2"/>
  <c r="B3" i="2"/>
  <c r="F4" i="2"/>
  <c r="D4" i="2"/>
  <c r="C4" i="2"/>
  <c r="B4" i="2"/>
  <c r="F5" i="2"/>
  <c r="D5" i="2"/>
  <c r="C5" i="2"/>
  <c r="B5" i="2"/>
  <c r="D6" i="2"/>
  <c r="C6" i="2"/>
  <c r="B6" i="2"/>
  <c r="F7" i="2"/>
  <c r="D7" i="2"/>
  <c r="C7" i="2"/>
  <c r="B7" i="2"/>
  <c r="F8" i="2"/>
  <c r="D8" i="2"/>
  <c r="C8" i="2"/>
  <c r="B8" i="2"/>
  <c r="F9" i="2"/>
  <c r="D9" i="2"/>
  <c r="C9" i="2"/>
  <c r="B9" i="2"/>
  <c r="F10" i="2"/>
  <c r="D10" i="2"/>
  <c r="C10" i="2"/>
  <c r="B10" i="2"/>
  <c r="F11" i="2"/>
  <c r="D11" i="2"/>
  <c r="C11" i="2"/>
  <c r="B11" i="2"/>
  <c r="D12" i="2"/>
  <c r="C12" i="2"/>
  <c r="B12" i="2"/>
  <c r="F13" i="2"/>
  <c r="D13" i="2"/>
  <c r="C13" i="2"/>
  <c r="B13" i="2"/>
  <c r="F14" i="2"/>
  <c r="D14" i="2"/>
  <c r="C14" i="2"/>
  <c r="B14" i="2"/>
  <c r="F15" i="2"/>
  <c r="D15" i="2"/>
  <c r="C15" i="2"/>
  <c r="B15" i="2"/>
  <c r="F16" i="2"/>
  <c r="D16" i="2"/>
  <c r="C16" i="2"/>
  <c r="B16" i="2"/>
  <c r="F17" i="2"/>
  <c r="D17" i="2"/>
  <c r="C17" i="2"/>
  <c r="B17" i="2"/>
  <c r="D18" i="2"/>
  <c r="C18" i="2"/>
  <c r="B18" i="2"/>
  <c r="F19" i="2"/>
  <c r="D19" i="2"/>
  <c r="C19" i="2"/>
  <c r="B19" i="2"/>
  <c r="F20" i="2"/>
  <c r="D20" i="2"/>
  <c r="C20" i="2"/>
  <c r="B20" i="2"/>
  <c r="F21" i="2"/>
  <c r="D21" i="2"/>
  <c r="C21" i="2"/>
  <c r="B21" i="2"/>
  <c r="F22" i="2"/>
  <c r="D22" i="2"/>
  <c r="C22" i="2"/>
  <c r="B22" i="2"/>
  <c r="F23" i="2"/>
  <c r="D23" i="2"/>
  <c r="C23" i="2"/>
  <c r="B23" i="2"/>
  <c r="D24" i="2"/>
  <c r="C24" i="2"/>
  <c r="B24" i="2"/>
  <c r="F25" i="2"/>
  <c r="D25" i="2"/>
  <c r="C25" i="2"/>
  <c r="B25" i="2"/>
  <c r="F26" i="2"/>
  <c r="D26" i="2"/>
  <c r="C26" i="2"/>
  <c r="B26" i="2"/>
  <c r="F27" i="2"/>
  <c r="D27" i="2"/>
  <c r="C27" i="2"/>
  <c r="B27" i="2"/>
  <c r="F28" i="2"/>
  <c r="D28" i="2"/>
  <c r="C28" i="2"/>
  <c r="B28" i="2"/>
  <c r="F29" i="2"/>
  <c r="D29" i="2"/>
  <c r="C29" i="2"/>
  <c r="B29" i="2"/>
  <c r="D30" i="2"/>
  <c r="C30" i="2"/>
  <c r="B30" i="2"/>
  <c r="F31" i="2"/>
  <c r="D31" i="2"/>
  <c r="C31" i="2"/>
  <c r="B31" i="2"/>
  <c r="F32" i="2"/>
  <c r="D32" i="2"/>
  <c r="C32" i="2"/>
  <c r="B32" i="2"/>
  <c r="F33" i="2"/>
  <c r="D33" i="2"/>
  <c r="C33" i="2"/>
  <c r="B33" i="2"/>
  <c r="F34" i="2"/>
  <c r="D34" i="2"/>
  <c r="C34" i="2"/>
  <c r="B34" i="2"/>
  <c r="F35" i="2"/>
  <c r="D35" i="2"/>
  <c r="C35" i="2"/>
  <c r="B35" i="2"/>
  <c r="D36" i="2"/>
  <c r="C36" i="2"/>
  <c r="B36" i="2"/>
  <c r="F37" i="2"/>
  <c r="D37" i="2"/>
  <c r="C37" i="2"/>
  <c r="B37" i="2"/>
  <c r="F38" i="2"/>
  <c r="D38" i="2"/>
  <c r="C38" i="2"/>
  <c r="B38" i="2"/>
  <c r="F39" i="2"/>
  <c r="D39" i="2"/>
  <c r="C39" i="2"/>
  <c r="B39" i="2"/>
  <c r="F40" i="2"/>
  <c r="D40" i="2"/>
  <c r="C40" i="2"/>
  <c r="B40" i="2"/>
  <c r="F41" i="2"/>
  <c r="D41" i="2"/>
  <c r="C41" i="2"/>
  <c r="B41" i="2"/>
  <c r="D42" i="2"/>
  <c r="C42" i="2"/>
  <c r="B42" i="2"/>
  <c r="F43" i="2"/>
  <c r="D43" i="2"/>
  <c r="C43" i="2"/>
  <c r="B43" i="2"/>
  <c r="F44" i="2"/>
  <c r="D44" i="2"/>
  <c r="C44" i="2"/>
  <c r="B44" i="2"/>
  <c r="F45" i="2"/>
  <c r="D45" i="2"/>
  <c r="C45" i="2"/>
  <c r="B45" i="2"/>
  <c r="F46" i="2"/>
  <c r="D46" i="2"/>
  <c r="C46" i="2"/>
  <c r="B46" i="2"/>
  <c r="F47" i="2"/>
  <c r="D47" i="2"/>
  <c r="C47" i="2"/>
  <c r="B47" i="2"/>
  <c r="D48" i="2"/>
  <c r="C48" i="2"/>
  <c r="B48" i="2"/>
  <c r="F49" i="2"/>
  <c r="D49" i="2"/>
  <c r="C49" i="2"/>
  <c r="B49" i="2"/>
  <c r="F50" i="2"/>
  <c r="D50" i="2"/>
  <c r="C50" i="2"/>
  <c r="B50" i="2"/>
  <c r="F51" i="2"/>
  <c r="D51" i="2"/>
  <c r="C51" i="2"/>
  <c r="B51" i="2"/>
  <c r="F52" i="2"/>
  <c r="D52" i="2"/>
  <c r="C52" i="2"/>
  <c r="B52" i="2"/>
  <c r="F53" i="2"/>
  <c r="D53" i="2"/>
  <c r="C53" i="2"/>
  <c r="B53" i="2"/>
  <c r="D54" i="2"/>
  <c r="C54" i="2"/>
  <c r="B54" i="2"/>
  <c r="G53" i="2" l="1"/>
  <c r="E53" i="2"/>
  <c r="G52" i="2"/>
  <c r="E52" i="2"/>
  <c r="G51" i="2"/>
  <c r="E51" i="2"/>
  <c r="G50" i="2"/>
  <c r="E50" i="2"/>
  <c r="G49" i="2"/>
  <c r="E49" i="2"/>
  <c r="E48" i="2"/>
  <c r="G47" i="2"/>
  <c r="E47" i="2"/>
  <c r="G46" i="2"/>
  <c r="E46" i="2"/>
  <c r="G45" i="2"/>
  <c r="E45" i="2"/>
  <c r="G44" i="2"/>
  <c r="E44" i="2"/>
  <c r="G43" i="2"/>
  <c r="E43" i="2"/>
  <c r="E42" i="2"/>
  <c r="G41" i="2"/>
  <c r="E41" i="2"/>
  <c r="G40" i="2"/>
  <c r="E40" i="2"/>
  <c r="G39" i="2"/>
  <c r="E39" i="2"/>
  <c r="G38" i="2"/>
  <c r="E38" i="2"/>
  <c r="G37" i="2"/>
  <c r="E37" i="2"/>
  <c r="E36" i="2"/>
  <c r="G35" i="2"/>
  <c r="E35" i="2"/>
  <c r="G34" i="2"/>
  <c r="E34" i="2"/>
  <c r="G33" i="2"/>
  <c r="E33" i="2"/>
  <c r="G32" i="2"/>
  <c r="E32" i="2"/>
  <c r="G31" i="2"/>
  <c r="E31" i="2"/>
  <c r="E30" i="2"/>
  <c r="G29" i="2"/>
  <c r="E29" i="2"/>
  <c r="G28" i="2"/>
  <c r="E28" i="2"/>
  <c r="G27" i="2"/>
  <c r="E27" i="2"/>
  <c r="G26" i="2"/>
  <c r="E26" i="2"/>
  <c r="G25" i="2"/>
  <c r="E25" i="2"/>
  <c r="E24" i="2"/>
  <c r="G23" i="2"/>
  <c r="E23" i="2"/>
  <c r="G22" i="2"/>
  <c r="E22" i="2"/>
  <c r="G21" i="2"/>
  <c r="E21" i="2"/>
  <c r="G20" i="2"/>
  <c r="E20" i="2"/>
  <c r="G19" i="2"/>
  <c r="E19" i="2"/>
  <c r="E18" i="2"/>
  <c r="G17" i="2"/>
  <c r="E17" i="2"/>
  <c r="G16" i="2"/>
  <c r="E16" i="2"/>
  <c r="G15" i="2"/>
  <c r="E15" i="2"/>
  <c r="G14" i="2"/>
  <c r="E14" i="2"/>
  <c r="G13" i="2"/>
  <c r="E13" i="2"/>
  <c r="E12" i="2"/>
  <c r="G11" i="2"/>
  <c r="E11" i="2"/>
  <c r="G10" i="2"/>
  <c r="E10" i="2"/>
  <c r="G9" i="2"/>
  <c r="E9" i="2"/>
  <c r="G8" i="2"/>
  <c r="E8" i="2"/>
  <c r="G7" i="2"/>
  <c r="E7" i="2"/>
  <c r="E6" i="2"/>
  <c r="G5" i="2"/>
  <c r="E5" i="2"/>
  <c r="G4" i="2"/>
  <c r="E4" i="2"/>
  <c r="G3" i="2"/>
  <c r="E3" i="2"/>
  <c r="I2" i="2"/>
  <c r="H2" i="2" s="1"/>
  <c r="F30" i="2" l="1"/>
  <c r="G30" i="2" s="1"/>
  <c r="I30" i="2" s="1"/>
  <c r="H30" i="2" s="1"/>
  <c r="F54" i="2"/>
  <c r="G54" i="2" s="1"/>
  <c r="I54" i="2" s="1"/>
  <c r="H54" i="2" s="1"/>
  <c r="F6" i="2"/>
  <c r="G6" i="2" s="1"/>
  <c r="I6" i="2" s="1"/>
  <c r="H6" i="2" s="1"/>
  <c r="F24" i="2"/>
  <c r="G24" i="2" s="1"/>
  <c r="I24" i="2" s="1"/>
  <c r="F42" i="2"/>
  <c r="G42" i="2" s="1"/>
  <c r="F48" i="2"/>
  <c r="G48" i="2" s="1"/>
  <c r="I48" i="2" s="1"/>
  <c r="F18" i="2"/>
  <c r="G18" i="2" s="1"/>
  <c r="I18" i="2" s="1"/>
  <c r="H18" i="2" s="1"/>
  <c r="F12" i="2"/>
  <c r="G12" i="2" s="1"/>
  <c r="F36" i="2"/>
  <c r="G36" i="2" s="1"/>
  <c r="I36" i="2" s="1"/>
  <c r="I3" i="2"/>
  <c r="H3" i="2" s="1"/>
  <c r="I4" i="2"/>
  <c r="H4" i="2" s="1"/>
  <c r="I5" i="2"/>
  <c r="H5" i="2" s="1"/>
  <c r="I7" i="2"/>
  <c r="H7" i="2" s="1"/>
  <c r="I8" i="2"/>
  <c r="H8" i="2" s="1"/>
  <c r="I9" i="2"/>
  <c r="H9" i="2" s="1"/>
  <c r="I10" i="2"/>
  <c r="H10" i="2" s="1"/>
  <c r="I11" i="2"/>
  <c r="H11" i="2" s="1"/>
  <c r="I13" i="2"/>
  <c r="H13" i="2" s="1"/>
  <c r="I14" i="2"/>
  <c r="H14" i="2" s="1"/>
  <c r="I15" i="2"/>
  <c r="H15" i="2" s="1"/>
  <c r="I16" i="2"/>
  <c r="H16" i="2" s="1"/>
  <c r="I17" i="2"/>
  <c r="H17" i="2" s="1"/>
  <c r="I19" i="2"/>
  <c r="H19" i="2" s="1"/>
  <c r="I20" i="2"/>
  <c r="H20" i="2" s="1"/>
  <c r="I21" i="2"/>
  <c r="H21" i="2" s="1"/>
  <c r="I22" i="2"/>
  <c r="H22" i="2" s="1"/>
  <c r="I23" i="2"/>
  <c r="H23" i="2" s="1"/>
  <c r="I25" i="2"/>
  <c r="H25" i="2" s="1"/>
  <c r="I26" i="2"/>
  <c r="H26" i="2" s="1"/>
  <c r="I27" i="2"/>
  <c r="H27" i="2" s="1"/>
  <c r="I28" i="2"/>
  <c r="H28" i="2" s="1"/>
  <c r="I29" i="2"/>
  <c r="H29" i="2" s="1"/>
  <c r="I31" i="2"/>
  <c r="H31" i="2" s="1"/>
  <c r="I32" i="2"/>
  <c r="H32" i="2" s="1"/>
  <c r="I33" i="2"/>
  <c r="H33" i="2" s="1"/>
  <c r="I34" i="2"/>
  <c r="H34" i="2" s="1"/>
  <c r="I35" i="2"/>
  <c r="H35" i="2" s="1"/>
  <c r="I37" i="2"/>
  <c r="H37" i="2" s="1"/>
  <c r="I38" i="2"/>
  <c r="H38" i="2" s="1"/>
  <c r="I39" i="2"/>
  <c r="H39" i="2" s="1"/>
  <c r="I40" i="2"/>
  <c r="H40" i="2" s="1"/>
  <c r="I41" i="2"/>
  <c r="H41" i="2" s="1"/>
  <c r="I43" i="2"/>
  <c r="H43" i="2" s="1"/>
  <c r="I44" i="2"/>
  <c r="H44" i="2" s="1"/>
  <c r="I45" i="2"/>
  <c r="H45" i="2" s="1"/>
  <c r="I46" i="2"/>
  <c r="H46" i="2" s="1"/>
  <c r="I47" i="2"/>
  <c r="H47" i="2" s="1"/>
  <c r="I49" i="2"/>
  <c r="H49" i="2" s="1"/>
  <c r="I50" i="2"/>
  <c r="H50" i="2" s="1"/>
  <c r="I51" i="2"/>
  <c r="H51" i="2" s="1"/>
  <c r="I52" i="2"/>
  <c r="H52" i="2" s="1"/>
  <c r="I53" i="2"/>
  <c r="H53" i="2" s="1"/>
  <c r="I42" i="2" l="1"/>
  <c r="H42" i="2" s="1"/>
  <c r="I12" i="2"/>
  <c r="H12" i="2" s="1"/>
  <c r="N6" i="2" s="1"/>
  <c r="N12" i="2" s="1"/>
  <c r="H48" i="2"/>
  <c r="N9" i="2" s="1"/>
  <c r="N15" i="2" s="1"/>
  <c r="H24" i="2"/>
  <c r="N7" i="2" s="1"/>
  <c r="N13" i="2" s="1"/>
  <c r="H36" i="2"/>
  <c r="N5" i="2"/>
  <c r="N11" i="2" s="1"/>
  <c r="N8" i="2" l="1"/>
  <c r="N14" i="2" s="1"/>
  <c r="N17" i="2" s="1"/>
</calcChain>
</file>

<file path=xl/sharedStrings.xml><?xml version="1.0" encoding="utf-8"?>
<sst xmlns="http://schemas.openxmlformats.org/spreadsheetml/2006/main" count="95" uniqueCount="94">
  <si>
    <t>Inputs (editable assumptions)</t>
  </si>
  <si>
    <t>Base Salary</t>
  </si>
  <si>
    <t>Quarter Performance Multipliers (editable)</t>
  </si>
  <si>
    <t>Base_Annual_Salary</t>
  </si>
  <si>
    <t>Quarter Key</t>
  </si>
  <si>
    <t>Quarter</t>
  </si>
  <si>
    <t>Multiplier</t>
  </si>
  <si>
    <t>Raise_Pct_May2027</t>
  </si>
  <si>
    <t>Q3 2026</t>
  </si>
  <si>
    <t>Q3 2026 (May–Jul 2026)</t>
  </si>
  <si>
    <t>Raise_Pct_May2028</t>
  </si>
  <si>
    <t>Q4 2026</t>
  </si>
  <si>
    <t>Q4 2026 (Aug–Oct 2026)</t>
  </si>
  <si>
    <t>Raise_Pct_May2029</t>
  </si>
  <si>
    <t>Q1 2027</t>
  </si>
  <si>
    <t>Q1 2027 (Nov 2026–Jan 2027)</t>
  </si>
  <si>
    <t>Raise_Pct_May2030</t>
  </si>
  <si>
    <t>Q2 2027</t>
  </si>
  <si>
    <t>Q2 2027 (Feb–Apr 2027)</t>
  </si>
  <si>
    <t>Bonus</t>
  </si>
  <si>
    <t>Q3 2027</t>
  </si>
  <si>
    <t>Q3 2027 (May–Jul 2027)</t>
  </si>
  <si>
    <t>Bonus_Pct_P1 (Aug 2026–Apr 2027)</t>
  </si>
  <si>
    <t>Q4 2027</t>
  </si>
  <si>
    <t>Q4 2027 (Aug–Oct 2027)</t>
  </si>
  <si>
    <t>Bonus_Pct_P2 (May 2027–Apr 2028)</t>
  </si>
  <si>
    <t>Q1 2028</t>
  </si>
  <si>
    <t>Q1 2028 (Nov 2027–Jan 2028)</t>
  </si>
  <si>
    <t>Bonus_Pct_P3 (May 2028–Apr 2029)</t>
  </si>
  <si>
    <t>Q2 2028</t>
  </si>
  <si>
    <t>Q2 2028 (Feb–Apr 2028)</t>
  </si>
  <si>
    <t>Bonus_Pct_P4 (May 2029–Apr 2030)</t>
  </si>
  <si>
    <t>Q3 2028</t>
  </si>
  <si>
    <t>Q3 2028 (May–Jul 2028)</t>
  </si>
  <si>
    <t>Bonus_Pct_P5 (May 2030–Apr 2031)</t>
  </si>
  <si>
    <t>Q4 2028</t>
  </si>
  <si>
    <t>Q4 2028 (Aug–Oct 2028)</t>
  </si>
  <si>
    <t>RSUs</t>
  </si>
  <si>
    <t>Q1 2029</t>
  </si>
  <si>
    <t>Q1 2029 (Nov 2028–Jan 2029)</t>
  </si>
  <si>
    <t>RSU_Grant_Value</t>
  </si>
  <si>
    <t>Q2 2029</t>
  </si>
  <si>
    <t>Q2 2029 (Feb–Apr 2029)</t>
  </si>
  <si>
    <t>RSU_Grant_Date</t>
  </si>
  <si>
    <t>Q3 2029</t>
  </si>
  <si>
    <t>Q3 2029 (May–Jul 2029)</t>
  </si>
  <si>
    <t>ESPP</t>
  </si>
  <si>
    <t>Q4 2029</t>
  </si>
  <si>
    <t>Q4 2029 (Aug–Oct 2029)</t>
  </si>
  <si>
    <t>ESPP_Contrib_Pct</t>
  </si>
  <si>
    <t>Q1 2030</t>
  </si>
  <si>
    <t>Q1 2030 (Nov 2029–Jan 2030)</t>
  </si>
  <si>
    <t>ESPP_Discount</t>
  </si>
  <si>
    <t>Q2 2030</t>
  </si>
  <si>
    <t>Q2 2030 (Feb–Apr 2030)</t>
  </si>
  <si>
    <t>Q3 2030</t>
  </si>
  <si>
    <t>Q3 2030 (May–Jul 2030)</t>
  </si>
  <si>
    <t>Net / Take-Home Settings</t>
  </si>
  <si>
    <t>Q4 2030</t>
  </si>
  <si>
    <t>Q4 2030 (Aug–Oct 2030)</t>
  </si>
  <si>
    <t>Tax_Pct</t>
  </si>
  <si>
    <t>Living_Expenses_EGP_Monthly_2026</t>
  </si>
  <si>
    <t>Living_Expenses_EGP_Monthly_2027</t>
  </si>
  <si>
    <t>Living_Expenses_EGP_Monthly_2028</t>
  </si>
  <si>
    <t>Living_Expenses_EGP_Monthly_2029</t>
  </si>
  <si>
    <t>Living_Expenses_EGP_Monthly_2030</t>
  </si>
  <si>
    <t>USD_to_EGP</t>
  </si>
  <si>
    <t>Notes</t>
  </si>
  <si>
    <t>• Timeline is fixed: Aug 2026 – Dec 2030.</t>
  </si>
  <si>
    <t>• Raises are fixed in May each year: May 2027/2028/2029/2030 raise % variables apply from those months onward (compounded).</t>
  </si>
  <si>
    <t>• Bonus % is split into 5 periods: P1 Aug 2026–Apr 2027, P2 May 2027–Apr 2028, P3 May 2028–Apr 2029, P4 May 2029–Apr 2030, P5 May 2030–Dec 2030.</t>
  </si>
  <si>
    <t>• Quarter performance multipliers table extended through Q4 2030 (editable).</t>
  </si>
  <si>
    <t>Month</t>
  </si>
  <si>
    <t>Bonus Paid</t>
  </si>
  <si>
    <t>RSU Vest</t>
  </si>
  <si>
    <t>ESPP Deduction</t>
  </si>
  <si>
    <t>ESPP Gross Profit (USD)</t>
  </si>
  <si>
    <t>Total Taxable Monthly Income (USD)</t>
  </si>
  <si>
    <t>Total Net Monthly Income</t>
  </si>
  <si>
    <t>Egypt Income Tax (USD)</t>
  </si>
  <si>
    <t>Grant#</t>
  </si>
  <si>
    <t>Vest Date</t>
  </si>
  <si>
    <t>Vest Value</t>
  </si>
  <si>
    <t>Total Net in 2026</t>
  </si>
  <si>
    <t>Total Net in 2027</t>
  </si>
  <si>
    <t>Total Net in 2028</t>
  </si>
  <si>
    <t>Total Net in 2029</t>
  </si>
  <si>
    <t>Total Net in 2030</t>
  </si>
  <si>
    <t>Take-Home Estimate in 2026</t>
  </si>
  <si>
    <t>Take-Home Estimate in 2027</t>
  </si>
  <si>
    <t>Take-Home Estimate in 2028</t>
  </si>
  <si>
    <t>Take-Home Estimate in 2029</t>
  </si>
  <si>
    <t>Take-Home Estimate in 2030</t>
  </si>
  <si>
    <t>Total Take-Home Estimate in All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</si>
</sst>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164" formatCode="&quot;$&quot;#,##0.00_-"/>
    <numFmt numFmtId="165" formatCode="mmm\ d\,\ yyyy"/>
    <numFmt numFmtId="166" formatCode="mmm\ yyyy"/>
    <numFmt numFmtId="167" formatCode="\$#,##0.00"/>
    <numFmt numFmtId="168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ck">
        <color rgb="FF000000"/>
      </bottom>
      <diagonal/>
    </border>
    <border>
      <left/>
      <right/>
      <top/>
      <bottom style="thin">
        <color rgb="FFD0D0D0"/>
      </bottom>
      <diagonal/>
    </border>
  </borders>
  <cellStyleXfs count="2">
    <xf numFmtId="0" fontId="0" fillId="0" borderId="0"/>
    <xf numFmtId="9" fontId="5" fillId="0" borderId="0"/>
  </cellStyleXfs>
  <cellXfs count="34">
    <xf numFmtId="0" fontId="0" fillId="0" borderId="0" xfId="0"/>
    <xf numFmtId="0" fontId="1" fillId="0" borderId="0" xfId="0" applyFont="1"/>
    <xf numFmtId="0" fontId="3" fillId="0" borderId="1" xfId="0" applyFont="1" applyBorder="1"/>
    <xf numFmtId="164" fontId="0" fillId="0" borderId="1" xfId="0" applyNumberFormat="1" applyBorder="1"/>
    <xf numFmtId="10" fontId="0" fillId="0" borderId="1" xfId="0" applyNumberFormat="1" applyBorder="1"/>
    <xf numFmtId="165" fontId="0" fillId="0" borderId="1" xfId="0" applyNumberFormat="1" applyBorder="1"/>
    <xf numFmtId="0" fontId="3" fillId="3" borderId="1" xfId="0" applyFont="1" applyFill="1" applyBorder="1"/>
    <xf numFmtId="0" fontId="0" fillId="0" borderId="1" xfId="0" applyBorder="1"/>
    <xf numFmtId="2" fontId="0" fillId="0" borderId="1" xfId="0" applyNumberFormat="1" applyBorder="1"/>
    <xf numFmtId="0" fontId="4" fillId="5" borderId="1" xfId="0" applyFont="1" applyFill="1" applyBorder="1" applyAlignment="1">
      <alignment horizontal="center"/>
    </xf>
    <xf numFmtId="0" fontId="3" fillId="3" borderId="0" xfId="0" applyFont="1" applyFill="1"/>
    <xf numFmtId="166" fontId="0" fillId="0" borderId="1" xfId="0" applyNumberFormat="1" applyBorder="1"/>
    <xf numFmtId="164" fontId="0" fillId="0" borderId="1" xfId="0" applyNumberFormat="1" applyBorder="1" applyAlignment="1">
      <alignment horizontal="right"/>
    </xf>
    <xf numFmtId="166" fontId="0" fillId="0" borderId="2" xfId="0" applyNumberFormat="1" applyBorder="1"/>
    <xf numFmtId="164" fontId="0" fillId="0" borderId="2" xfId="0" applyNumberFormat="1" applyBorder="1" applyAlignment="1">
      <alignment horizontal="right"/>
    </xf>
    <xf numFmtId="0" fontId="4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3" fontId="0" fillId="0" borderId="0" xfId="0" applyNumberFormat="1"/>
    <xf numFmtId="4" fontId="0" fillId="0" borderId="0" xfId="0" applyNumberFormat="1"/>
    <xf numFmtId="167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167" fontId="0" fillId="0" borderId="0" xfId="0" applyNumberFormat="1"/>
    <xf numFmtId="0" fontId="4" fillId="5" borderId="1" xfId="0" applyFont="1" applyFill="1" applyBorder="1" applyAlignment="1">
      <alignment horizontal="center" vertical="center"/>
    </xf>
    <xf numFmtId="2" fontId="0" fillId="0" borderId="0" xfId="0" applyNumberFormat="1"/>
    <xf numFmtId="10" fontId="0" fillId="0" borderId="0" xfId="1" applyNumberFormat="1" applyFont="1"/>
    <xf numFmtId="2" fontId="0" fillId="0" borderId="0" xfId="1" applyNumberFormat="1" applyFont="1"/>
    <xf numFmtId="0" fontId="2" fillId="4" borderId="0" xfId="0" applyFont="1" applyFill="1"/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zoomScale="114" zoomScaleNormal="114" workbookViewId="0">
      <selection activeCell="J22" sqref="J22"/>
    </sheetView>
  </sheetViews>
  <sheetFormatPr defaultRowHeight="14.4" x14ac:dyDescent="0.3"/>
  <cols>
    <col min="1" max="1" width="33.33203125" bestFit="1" customWidth="1"/>
    <col min="2" max="2" width="12.6640625" bestFit="1" customWidth="1"/>
    <col min="3" max="3" width="11.33203125" customWidth="1"/>
    <col min="4" max="4" width="12.33203125" customWidth="1"/>
    <col min="5" max="5" width="26.5546875" bestFit="1" customWidth="1"/>
    <col min="6" max="6" width="9.5546875" bestFit="1" customWidth="1"/>
  </cols>
  <sheetData>
    <row r="1" spans="1:6" ht="18" customHeight="1" x14ac:dyDescent="0.35">
      <c r="A1" s="1" t="s">
        <v>0</v>
      </c>
    </row>
    <row r="3" spans="1:6" ht="15.6" customHeight="1" x14ac:dyDescent="0.3">
      <c r="A3" s="18" t="s">
        <v>1</v>
      </c>
      <c r="B3" s="18"/>
      <c r="D3" s="20" t="s">
        <v>2</v>
      </c>
      <c r="E3" s="19"/>
      <c r="F3" s="19"/>
    </row>
    <row r="4" spans="1:6" x14ac:dyDescent="0.3">
      <c r="A4" s="2" t="s">
        <v>3</v>
      </c>
      <c r="B4" s="3">
        <f>24000*1.14*1.1</f>
        <v>30096</v>
      </c>
      <c r="D4" s="6" t="s">
        <v>4</v>
      </c>
      <c r="E4" s="6" t="s">
        <v>5</v>
      </c>
      <c r="F4" s="6" t="s">
        <v>6</v>
      </c>
    </row>
    <row r="5" spans="1:6" x14ac:dyDescent="0.3">
      <c r="A5" s="2" t="s">
        <v>7</v>
      </c>
      <c r="B5" s="4">
        <v>0.06</v>
      </c>
      <c r="D5" s="7" t="s">
        <v>8</v>
      </c>
      <c r="E5" s="7" t="s">
        <v>9</v>
      </c>
      <c r="F5" s="8">
        <v>3</v>
      </c>
    </row>
    <row r="6" spans="1:6" x14ac:dyDescent="0.3">
      <c r="A6" s="2" t="s">
        <v>10</v>
      </c>
      <c r="B6" s="4">
        <v>7.0000000000000007E-2</v>
      </c>
      <c r="D6" s="7" t="s">
        <v>11</v>
      </c>
      <c r="E6" s="7" t="s">
        <v>12</v>
      </c>
      <c r="F6" s="8">
        <v>2.35</v>
      </c>
    </row>
    <row r="7" spans="1:6" x14ac:dyDescent="0.3">
      <c r="A7" s="2" t="s">
        <v>13</v>
      </c>
      <c r="B7" s="4">
        <v>0.08</v>
      </c>
      <c r="D7" s="7" t="s">
        <v>14</v>
      </c>
      <c r="E7" s="7" t="s">
        <v>15</v>
      </c>
      <c r="F7" s="8">
        <v>2.1</v>
      </c>
    </row>
    <row r="8" spans="1:6" x14ac:dyDescent="0.3">
      <c r="A8" s="2" t="s">
        <v>16</v>
      </c>
      <c r="B8" s="4">
        <v>7.0000000000000007E-2</v>
      </c>
      <c r="D8" s="7" t="s">
        <v>17</v>
      </c>
      <c r="E8" s="7" t="s">
        <v>18</v>
      </c>
      <c r="F8" s="8">
        <v>1.8</v>
      </c>
    </row>
    <row r="9" spans="1:6" ht="15.6" customHeight="1" x14ac:dyDescent="0.3">
      <c r="A9" s="17" t="s">
        <v>19</v>
      </c>
      <c r="B9" s="18"/>
      <c r="D9" s="7" t="s">
        <v>20</v>
      </c>
      <c r="E9" s="7" t="s">
        <v>21</v>
      </c>
      <c r="F9" s="8">
        <v>1.4</v>
      </c>
    </row>
    <row r="10" spans="1:6" x14ac:dyDescent="0.3">
      <c r="A10" s="2" t="s">
        <v>22</v>
      </c>
      <c r="B10" s="4">
        <v>0.1</v>
      </c>
      <c r="D10" s="7" t="s">
        <v>23</v>
      </c>
      <c r="E10" s="7" t="s">
        <v>24</v>
      </c>
      <c r="F10" s="8">
        <v>1</v>
      </c>
    </row>
    <row r="11" spans="1:6" x14ac:dyDescent="0.3">
      <c r="A11" s="2" t="s">
        <v>25</v>
      </c>
      <c r="B11" s="4">
        <v>0.1</v>
      </c>
      <c r="D11" s="7" t="s">
        <v>26</v>
      </c>
      <c r="E11" s="7" t="s">
        <v>27</v>
      </c>
      <c r="F11" s="8">
        <v>0.5</v>
      </c>
    </row>
    <row r="12" spans="1:6" x14ac:dyDescent="0.3">
      <c r="A12" s="2" t="s">
        <v>28</v>
      </c>
      <c r="B12" s="4">
        <v>0.1</v>
      </c>
      <c r="D12" s="7" t="s">
        <v>29</v>
      </c>
      <c r="E12" s="7" t="s">
        <v>30</v>
      </c>
      <c r="F12" s="8">
        <v>0</v>
      </c>
    </row>
    <row r="13" spans="1:6" x14ac:dyDescent="0.3">
      <c r="A13" s="2" t="s">
        <v>31</v>
      </c>
      <c r="B13" s="4">
        <v>0.1</v>
      </c>
      <c r="D13" s="7" t="s">
        <v>32</v>
      </c>
      <c r="E13" s="7" t="s">
        <v>33</v>
      </c>
      <c r="F13" s="8">
        <v>0.55000000000000004</v>
      </c>
    </row>
    <row r="14" spans="1:6" x14ac:dyDescent="0.3">
      <c r="A14" s="2" t="s">
        <v>34</v>
      </c>
      <c r="B14" s="4">
        <v>0.1</v>
      </c>
      <c r="D14" s="7" t="s">
        <v>35</v>
      </c>
      <c r="E14" s="7" t="s">
        <v>36</v>
      </c>
      <c r="F14" s="8">
        <v>1.05</v>
      </c>
    </row>
    <row r="15" spans="1:6" ht="15.6" customHeight="1" x14ac:dyDescent="0.3">
      <c r="A15" s="17" t="s">
        <v>37</v>
      </c>
      <c r="B15" s="18"/>
      <c r="D15" s="7" t="s">
        <v>38</v>
      </c>
      <c r="E15" s="7" t="s">
        <v>39</v>
      </c>
      <c r="F15" s="8">
        <v>1.5</v>
      </c>
    </row>
    <row r="16" spans="1:6" x14ac:dyDescent="0.3">
      <c r="A16" s="2" t="s">
        <v>40</v>
      </c>
      <c r="B16" s="3">
        <v>4150</v>
      </c>
      <c r="D16" s="7" t="s">
        <v>41</v>
      </c>
      <c r="E16" s="7" t="s">
        <v>42</v>
      </c>
      <c r="F16" s="8">
        <v>1.9</v>
      </c>
    </row>
    <row r="17" spans="1:6" x14ac:dyDescent="0.3">
      <c r="A17" s="2" t="s">
        <v>43</v>
      </c>
      <c r="B17" s="5">
        <v>46096</v>
      </c>
      <c r="D17" s="7" t="s">
        <v>44</v>
      </c>
      <c r="E17" s="7" t="s">
        <v>45</v>
      </c>
      <c r="F17" s="8">
        <v>2.25</v>
      </c>
    </row>
    <row r="18" spans="1:6" ht="15.6" customHeight="1" x14ac:dyDescent="0.3">
      <c r="A18" s="17" t="s">
        <v>46</v>
      </c>
      <c r="B18" s="18"/>
      <c r="D18" s="7" t="s">
        <v>47</v>
      </c>
      <c r="E18" s="7" t="s">
        <v>48</v>
      </c>
      <c r="F18" s="8">
        <v>2.5</v>
      </c>
    </row>
    <row r="19" spans="1:6" x14ac:dyDescent="0.3">
      <c r="A19" s="2" t="s">
        <v>49</v>
      </c>
      <c r="B19" s="4">
        <v>0.2</v>
      </c>
      <c r="D19" s="7" t="s">
        <v>50</v>
      </c>
      <c r="E19" s="7" t="s">
        <v>51</v>
      </c>
      <c r="F19" s="8">
        <v>2.65</v>
      </c>
    </row>
    <row r="20" spans="1:6" x14ac:dyDescent="0.3">
      <c r="A20" s="2" t="s">
        <v>52</v>
      </c>
      <c r="B20" s="4">
        <v>0.2</v>
      </c>
      <c r="D20" s="7" t="s">
        <v>53</v>
      </c>
      <c r="E20" s="7" t="s">
        <v>54</v>
      </c>
      <c r="F20" s="8">
        <v>2.7</v>
      </c>
    </row>
    <row r="21" spans="1:6" ht="15.6" customHeight="1" x14ac:dyDescent="0.3">
      <c r="D21" s="7" t="s">
        <v>55</v>
      </c>
      <c r="E21" s="7" t="s">
        <v>56</v>
      </c>
      <c r="F21" s="8">
        <v>2.65</v>
      </c>
    </row>
    <row r="22" spans="1:6" ht="15.6" customHeight="1" x14ac:dyDescent="0.3">
      <c r="A22" s="17" t="s">
        <v>57</v>
      </c>
      <c r="B22" s="18"/>
      <c r="D22" s="7" t="s">
        <v>58</v>
      </c>
      <c r="E22" s="7" t="s">
        <v>59</v>
      </c>
      <c r="F22" s="8">
        <v>2.5</v>
      </c>
    </row>
    <row r="23" spans="1:6" x14ac:dyDescent="0.3">
      <c r="A23" t="s">
        <v>60</v>
      </c>
      <c r="B23" s="29">
        <v>0.26500000000000001</v>
      </c>
      <c r="F23" s="28"/>
    </row>
    <row r="24" spans="1:6" x14ac:dyDescent="0.3">
      <c r="A24" t="s">
        <v>61</v>
      </c>
      <c r="B24" s="21">
        <v>37000</v>
      </c>
      <c r="F24" s="28"/>
    </row>
    <row r="25" spans="1:6" x14ac:dyDescent="0.3">
      <c r="A25" t="s">
        <v>62</v>
      </c>
      <c r="B25" s="30">
        <f>Living_Expenses_EGP_Monthly_2026*1.1</f>
        <v>40700</v>
      </c>
      <c r="F25" s="28"/>
    </row>
    <row r="26" spans="1:6" x14ac:dyDescent="0.3">
      <c r="A26" t="s">
        <v>63</v>
      </c>
      <c r="B26">
        <f>Living_Expenses_EGP_Monthly_2027*1.08</f>
        <v>43956</v>
      </c>
    </row>
    <row r="27" spans="1:6" x14ac:dyDescent="0.3">
      <c r="A27" t="s">
        <v>64</v>
      </c>
      <c r="B27" s="21">
        <f>Living_Expenses_EGP_Monthly_2028*1.07</f>
        <v>47032.920000000006</v>
      </c>
    </row>
    <row r="28" spans="1:6" x14ac:dyDescent="0.3">
      <c r="A28" t="s">
        <v>65</v>
      </c>
      <c r="B28" s="21">
        <f>Living_Expenses_EGP_Monthly_2029*1.06</f>
        <v>49854.895200000006</v>
      </c>
    </row>
    <row r="29" spans="1:6" x14ac:dyDescent="0.3">
      <c r="A29" t="s">
        <v>66</v>
      </c>
      <c r="B29" s="22">
        <v>50</v>
      </c>
    </row>
    <row r="49" spans="1:3" ht="15.6" customHeight="1" x14ac:dyDescent="0.3">
      <c r="A49" s="31" t="s">
        <v>67</v>
      </c>
      <c r="B49" s="32"/>
      <c r="C49" s="32"/>
    </row>
    <row r="50" spans="1:3" ht="14.4" customHeight="1" x14ac:dyDescent="0.3">
      <c r="A50" s="33" t="s">
        <v>68</v>
      </c>
      <c r="B50" s="32"/>
      <c r="C50" s="32"/>
    </row>
    <row r="51" spans="1:3" ht="14.4" customHeight="1" x14ac:dyDescent="0.3">
      <c r="A51" s="33" t="s">
        <v>69</v>
      </c>
      <c r="B51" s="32"/>
      <c r="C51" s="32"/>
    </row>
    <row r="52" spans="1:3" ht="14.4" customHeight="1" x14ac:dyDescent="0.3">
      <c r="A52" s="33" t="s">
        <v>70</v>
      </c>
      <c r="B52" s="32"/>
      <c r="C52" s="32"/>
    </row>
    <row r="53" spans="1:3" ht="14.4" customHeight="1" x14ac:dyDescent="0.3">
      <c r="A53" s="33" t="s">
        <v>71</v>
      </c>
      <c r="B53" s="32"/>
      <c r="C53" s="32"/>
    </row>
  </sheetData>
  <mergeCells count="5">
    <mergeCell ref="A49:C49"/>
    <mergeCell ref="A53:C53"/>
    <mergeCell ref="A50:C50"/>
    <mergeCell ref="A51:C51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4"/>
  <sheetViews>
    <sheetView zoomScaleNormal="100" workbookViewId="0">
      <pane ySplit="1" topLeftCell="A2" activePane="bottomLeft" state="frozen"/>
      <selection pane="bottomLeft" activeCell="M29" sqref="M29"/>
    </sheetView>
  </sheetViews>
  <sheetFormatPr defaultRowHeight="14.4" x14ac:dyDescent="0.3"/>
  <cols>
    <col min="1" max="1" width="9.44140625" bestFit="1" customWidth="1"/>
    <col min="2" max="2" width="10.5546875" bestFit="1" customWidth="1"/>
    <col min="3" max="3" width="10.33203125" bestFit="1" customWidth="1"/>
    <col min="4" max="4" width="10" bestFit="1" customWidth="1"/>
    <col min="5" max="5" width="14.44140625" bestFit="1" customWidth="1"/>
    <col min="6" max="6" width="20.88671875" bestFit="1" customWidth="1"/>
    <col min="7" max="7" width="25.44140625" bestFit="1" customWidth="1"/>
    <col min="8" max="8" width="33.6640625" style="16" bestFit="1" customWidth="1"/>
    <col min="9" max="9" width="22" hidden="1" bestFit="1" customWidth="1"/>
    <col min="10" max="10" width="10.6640625" hidden="1" customWidth="1"/>
    <col min="11" max="11" width="9" hidden="1" customWidth="1"/>
    <col min="12" max="12" width="9.88671875" hidden="1" customWidth="1"/>
    <col min="13" max="13" width="34.109375" style="16" bestFit="1" customWidth="1"/>
    <col min="14" max="14" width="25.109375" style="16" bestFit="1" customWidth="1"/>
    <col min="15" max="15" width="27.88671875" style="24" bestFit="1" customWidth="1"/>
    <col min="16" max="16" width="36" style="16" bestFit="1" customWidth="1"/>
    <col min="17" max="17" width="37.6640625" bestFit="1" customWidth="1"/>
    <col min="18" max="18" width="33.33203125" bestFit="1" customWidth="1"/>
    <col min="19" max="19" width="36" bestFit="1" customWidth="1"/>
  </cols>
  <sheetData>
    <row r="1" spans="1:14" x14ac:dyDescent="0.3">
      <c r="A1" s="9" t="s">
        <v>72</v>
      </c>
      <c r="B1" s="9" t="s">
        <v>1</v>
      </c>
      <c r="C1" s="9" t="s">
        <v>73</v>
      </c>
      <c r="D1" s="9" t="s">
        <v>74</v>
      </c>
      <c r="E1" s="9" t="s">
        <v>75</v>
      </c>
      <c r="F1" s="9" t="s">
        <v>76</v>
      </c>
      <c r="G1" s="9" t="s">
        <v>77</v>
      </c>
      <c r="H1" s="27" t="s">
        <v>78</v>
      </c>
      <c r="I1" s="10" t="s">
        <v>79</v>
      </c>
      <c r="J1" s="10" t="s">
        <v>80</v>
      </c>
      <c r="K1" s="10" t="s">
        <v>81</v>
      </c>
      <c r="L1" s="10" t="s">
        <v>82</v>
      </c>
    </row>
    <row r="2" spans="1:14" x14ac:dyDescent="0.3">
      <c r="A2" s="11">
        <v>46235</v>
      </c>
      <c r="B2" s="12">
        <f t="shared" ref="B2:B33" si="0">IF($A2&gt;=DATE(2030,5,1),Base_Annual_Salary*(1+Raise_Pct_May2027)*(1+Raise_Pct_May2028)*(1+Raise_Pct_May2029)*(1+Raise_Pct_May2030)/12,IF($A2&gt;=DATE(2029,5,1),Base_Annual_Salary*(1+Raise_Pct_May2027)*(1+Raise_Pct_May2028)*(1+Raise_Pct_May2029)/12,IF($A2&gt;=DATE(2028,5,1),Base_Annual_Salary*(1+Raise_Pct_May2027)*(1+Raise_Pct_May2028)/12,IF($A2&gt;=DATE(2027,5,1),Base_Annual_Salary*(1+Raise_Pct_May2027)/12,Base_Annual_Salary/12))))</f>
        <v>2508</v>
      </c>
      <c r="C2" s="12">
        <f t="shared" ref="C2:C33" si="1">IF(MONTH($A2)=6,IFERROR(3*(INDEX(QuarterMult_Range, MATCH("Q1 "&amp;YEAR($A2), QuarterKey_Range, 0))*IF(DATE(YEAR($A2)-1,11,1)&gt;=DATE(2030,5,1),Base_Annual_Salary*(1+Raise_Pct_May2027)*(1+Raise_Pct_May2028)*(1+Raise_Pct_May2029)*(1+Raise_Pct_May2030)/12,IF(DATE(YEAR($A2)-1,11,1)&gt;=DATE(2029,5,1),Base_Annual_Salary*(1+Raise_Pct_May2027)*(1+Raise_Pct_May2028)*(1+Raise_Pct_May2029)/12,IF(DATE(YEAR($A2)-1,11,1)&gt;=DATE(2028,5,1),Base_Annual_Salary*(1+Raise_Pct_May2027)*(1+Raise_Pct_May2028)/12,IF(DATE(YEAR($A2)-1,11,1)&gt;=DATE(2027,5,1),Base_Annual_Salary*(1+Raise_Pct_May2027)/12,Base_Annual_Salary/12))))*IF(DATE(YEAR($A2)-1,11,1)&gt;=DATE(2030,5,1),Bonus_Pct_P5,IF(DATE(YEAR($A2)-1,11,1)&gt;=DATE(2029,5,1),Bonus_Pct_P4,IF(DATE(YEAR($A2)-1,11,1)&gt;=DATE(2028,5,1),Bonus_Pct_P3,IF(DATE(YEAR($A2)-1,11,1)&gt;=DATE(2027,5,1),Bonus_Pct_P2,Bonus_Pct_P1))))+INDEX(QuarterMult_Range, MATCH("Q2 "&amp;YEAR($A2), QuarterKey_Range, 0))*IF(DATE(YEAR($A2),2,1)&gt;=DATE(2030,5,1),Base_Annual_Salary*(1+Raise_Pct_May2027)*(1+Raise_Pct_May2028)*(1+Raise_Pct_May2029)*(1+Raise_Pct_May2030)/12,IF(DATE(YEAR($A2),2,1)&gt;=DATE(2029,5,1),Base_Annual_Salary*(1+Raise_Pct_May2027)*(1+Raise_Pct_May2028)*(1+Raise_Pct_May2029)/12,IF(DATE(YEAR($A2),2,1)&gt;=DATE(2028,5,1),Base_Annual_Salary*(1+Raise_Pct_May2027)*(1+Raise_Pct_May2028)/12,IF(DATE(YEAR($A2),2,1)&gt;=DATE(2027,5,1),Base_Annual_Salary*(1+Raise_Pct_May2027)/12,Base_Annual_Salary/12))))*IF(DATE(YEAR($A2),2,1)&gt;=DATE(2030,5,1),Bonus_Pct_P5,IF(DATE(YEAR($A2),2,1)&gt;=DATE(2029,5,1),Bonus_Pct_P4,IF(DATE(YEAR($A2),2,1)&gt;=DATE(2028,5,1),Bonus_Pct_P3,IF(DATE(YEAR($A2),2,1)&gt;=DATE(2027,5,1),Bonus_Pct_P2,Bonus_Pct_P1))))),0),IF(MONTH($A2)=12,IFERROR(3*(INDEX(QuarterMult_Range, MATCH("Q3 "&amp;YEAR($A2), QuarterKey_Range, 0))*IF(DATE(YEAR($A2),5,1)&gt;=DATE(2030,5,1),Base_Annual_Salary*(1+Raise_Pct_May2027)*(1+Raise_Pct_May2028)*(1+Raise_Pct_May2029)*(1+Raise_Pct_May2030)/12,IF(DATE(YEAR($A2),5,1)&gt;=DATE(2029,5,1),Base_Annual_Salary*(1+Raise_Pct_May2027)*(1+Raise_Pct_May2028)*(1+Raise_Pct_May2029)/12,IF(DATE(YEAR($A2),5,1)&gt;=DATE(2028,5,1),Base_Annual_Salary*(1+Raise_Pct_May2027)*(1+Raise_Pct_May2028)/12,IF(DATE(YEAR($A2),5,1)&gt;=DATE(2027,5,1),Base_Annual_Salary*(1+Raise_Pct_May2027)/12,Base_Annual_Salary/12))))*IF(DATE(YEAR($A2),5,1)&gt;=DATE(2030,5,1),Bonus_Pct_P5,IF(DATE(YEAR($A2),5,1)&gt;=DATE(2029,5,1),Bonus_Pct_P4,IF(DATE(YEAR($A2),5,1)&gt;=DATE(2028,5,1),Bonus_Pct_P3,IF(DATE(YEAR($A2),5,1)&gt;=DATE(2027,5,1),Bonus_Pct_P2,Bonus_Pct_P1))))+INDEX(QuarterMult_Range, MATCH("Q4 "&amp;YEAR($A2), QuarterKey_Range, 0))*IF(DATE(YEAR($A2),8,1)&gt;=DATE(2030,5,1),Base_Annual_Salary*(1+Raise_Pct_May2027)*(1+Raise_Pct_May2028)*(1+Raise_Pct_May2029)*(1+Raise_Pct_May2030)/12,IF(DATE(YEAR($A2),8,1)&gt;=DATE(2029,5,1),Base_Annual_Salary*(1+Raise_Pct_May2027)*(1+Raise_Pct_May2028)*(1+Raise_Pct_May2029)/12,IF(DATE(YEAR($A2),8,1)&gt;=DATE(2028,5,1),Base_Annual_Salary*(1+Raise_Pct_May2027)*(1+Raise_Pct_May2028)/12,IF(DATE(YEAR($A2),8,1)&gt;=DATE(2027,5,1),Base_Annual_Salary*(1+Raise_Pct_May2027)/12,Base_Annual_Salary/12))))*IF(DATE(YEAR($A2),8,1)&gt;=DATE(2030,5,1),Bonus_Pct_P5,IF(DATE(YEAR($A2),8,1)&gt;=DATE(2029,5,1),Bonus_Pct_P4,IF(DATE(YEAR($A2),8,1)&gt;=DATE(2028,5,1),Bonus_Pct_P3,IF(DATE(YEAR($A2),8,1)&gt;=DATE(2027,5,1),Bonus_Pct_P2,Bonus_Pct_P1))))),0),0))</f>
        <v>0</v>
      </c>
      <c r="D2" s="12">
        <f t="shared" ref="D2:D33" si="2">SUMIFS($L$2:$L$33,$K$2:$K$33,"&gt;="&amp;$A2,$K$2:$K$33,"&lt;"&amp;EDATE($A2,1))</f>
        <v>0</v>
      </c>
      <c r="E2" s="12">
        <f t="shared" ref="E2:E33" si="3">-B2*ESPP_Contrib_Pct</f>
        <v>-501.6</v>
      </c>
      <c r="F2" s="12">
        <f t="shared" ref="F2:F33" si="4">(IF(MONTH($A2)=12,(-SUMIFS($E$2:$E$54,$A$2:$A$54,"&gt;="&amp;DATE(YEAR($A2),6,1),$A$2:$A$54,"&lt;="&amp;DATE(YEAR($A2),11,1)))/(1-ESPP_Discount),IF(MONTH($A2)=6,(-SUMIFS($E$2:$E$54,$A$2:$A$54,"&gt;="&amp;DATE(YEAR($A2)-1,12,1),$A$2:$A$54,"&lt;="&amp;DATE(YEAR($A2),5,1)))/(1-ESPP_Discount),0)))*ESPP_Discount</f>
        <v>0</v>
      </c>
      <c r="G2" s="12">
        <f t="shared" ref="G2:G33" si="5">SUM(B2,C2,D2,F2)</f>
        <v>2508</v>
      </c>
      <c r="H2" s="23">
        <f t="shared" ref="H2:H33" si="6">G2-I2+E2+IF(MONTH($A2)=12,-SUMIFS($E$2:$E$54,$A$2:$A$54,"&gt;="&amp;DATE(YEAR($A2),6,1),$A$2:$A$54,"&lt;="&amp;DATE(YEAR($A2),11,1)),IF(MONTH($A2)=6,-SUMIFS($E$2:$E$54,$A$2:$A$54,"&gt;="&amp;DATE(YEAR($A2)-1,12,1),$A$2:$A$54,"&lt;="&amp;DATE(YEAR($A2),5,1)),0))</f>
        <v>1417.9499999999998</v>
      </c>
      <c r="I2" s="26">
        <f t="shared" ref="I2:I33" si="7">_xlfn.SINGLE(_xlfn.LET(_xlpm.g, $G2, _xlpm.fx, USD_to_EGP, _xlpm.annual, _xlfn.SINGLE(_xlpm.g) * _xlfn.SINGLE(_xlpm.fx) * 12, _xlpm.ex, 20000, _xlpm.tx, MAX(0, _xlfn.SINGLE(_xlpm.annual) - _xlfn.SINGLE(_xlpm.ex)), _xlpm.tax_annual, 0 * MIN(_xlpm.tx, 40000) + 0.1 * MAX(0, MIN(_xlpm.tx, 55000) - 40000) + 0.15 * MAX(0, MIN(_xlpm.tx, 70000) - 55000) + 0.2 * MAX(0, MIN(_xlpm.tx, 200000) - 70000) + 0.225 * MAX(0, MIN(_xlpm.tx, 400000) - 200000) + 0.25 * MAX(0, MIN(_xlpm.tx, 1200000) - 400000) + 0.275 * MAX(0, _xlfn.SINGLE(_xlpm.tx) - 1200000), _xlfn.SINGLE(_xlpm.tax_annual) / (12 * _xlfn.SINGLE(_xlpm.fx))))</f>
        <v>588.45000000000005</v>
      </c>
      <c r="J2">
        <v>1</v>
      </c>
      <c r="K2">
        <f>EDATE(RSU_Grant_Date,12)</f>
        <v>46461</v>
      </c>
      <c r="L2">
        <f t="shared" ref="L2:L33" si="8">RSU_Grant_Value/4</f>
        <v>1037.5</v>
      </c>
    </row>
    <row r="3" spans="1:14" x14ac:dyDescent="0.3">
      <c r="A3" s="11">
        <f>EDATE($A$2,1)</f>
        <v>46266</v>
      </c>
      <c r="B3" s="12">
        <f t="shared" si="0"/>
        <v>2508</v>
      </c>
      <c r="C3" s="12">
        <f t="shared" si="1"/>
        <v>0</v>
      </c>
      <c r="D3" s="12">
        <f t="shared" si="2"/>
        <v>0</v>
      </c>
      <c r="E3" s="12">
        <f t="shared" si="3"/>
        <v>-501.6</v>
      </c>
      <c r="F3" s="12">
        <f t="shared" si="4"/>
        <v>0</v>
      </c>
      <c r="G3" s="12">
        <f t="shared" si="5"/>
        <v>2508</v>
      </c>
      <c r="H3" s="23">
        <f t="shared" si="6"/>
        <v>1417.9499999999998</v>
      </c>
      <c r="I3" s="26">
        <f t="shared" si="7"/>
        <v>588.45000000000005</v>
      </c>
      <c r="J3">
        <v>1</v>
      </c>
      <c r="K3">
        <f>EDATE(RSU_Grant_Date,24)</f>
        <v>46827</v>
      </c>
      <c r="L3">
        <f t="shared" si="8"/>
        <v>1037.5</v>
      </c>
    </row>
    <row r="4" spans="1:14" x14ac:dyDescent="0.3">
      <c r="A4" s="11">
        <f>EDATE($A$2,2)</f>
        <v>46296</v>
      </c>
      <c r="B4" s="12">
        <f t="shared" si="0"/>
        <v>2508</v>
      </c>
      <c r="C4" s="12">
        <f t="shared" si="1"/>
        <v>0</v>
      </c>
      <c r="D4" s="12">
        <f t="shared" si="2"/>
        <v>0</v>
      </c>
      <c r="E4" s="12">
        <f t="shared" si="3"/>
        <v>-501.6</v>
      </c>
      <c r="F4" s="12">
        <f t="shared" si="4"/>
        <v>0</v>
      </c>
      <c r="G4" s="12">
        <f t="shared" si="5"/>
        <v>2508</v>
      </c>
      <c r="H4" s="23">
        <f t="shared" si="6"/>
        <v>1417.9499999999998</v>
      </c>
      <c r="I4" s="26">
        <f t="shared" si="7"/>
        <v>588.45000000000005</v>
      </c>
      <c r="J4">
        <v>1</v>
      </c>
      <c r="K4">
        <f>EDATE(RSU_Grant_Date,36)</f>
        <v>47192</v>
      </c>
      <c r="L4">
        <f t="shared" si="8"/>
        <v>1037.5</v>
      </c>
    </row>
    <row r="5" spans="1:14" x14ac:dyDescent="0.3">
      <c r="A5" s="11">
        <f>EDATE($A$2,3)</f>
        <v>46327</v>
      </c>
      <c r="B5" s="12">
        <f t="shared" si="0"/>
        <v>2508</v>
      </c>
      <c r="C5" s="12">
        <f t="shared" si="1"/>
        <v>0</v>
      </c>
      <c r="D5" s="12">
        <f t="shared" si="2"/>
        <v>0</v>
      </c>
      <c r="E5" s="12">
        <f t="shared" si="3"/>
        <v>-501.6</v>
      </c>
      <c r="F5" s="12">
        <f t="shared" si="4"/>
        <v>0</v>
      </c>
      <c r="G5" s="12">
        <f t="shared" si="5"/>
        <v>2508</v>
      </c>
      <c r="H5" s="23">
        <f t="shared" si="6"/>
        <v>1417.9499999999998</v>
      </c>
      <c r="I5" s="26">
        <f t="shared" si="7"/>
        <v>588.45000000000005</v>
      </c>
      <c r="J5">
        <v>1</v>
      </c>
      <c r="K5">
        <f>EDATE(RSU_Grant_Date,48)</f>
        <v>47557</v>
      </c>
      <c r="L5">
        <f t="shared" si="8"/>
        <v>1037.5</v>
      </c>
      <c r="M5" s="15" t="s">
        <v>83</v>
      </c>
      <c r="N5" s="23">
        <f>SUM(H2:H6)</f>
        <v>12378.181499999999</v>
      </c>
    </row>
    <row r="6" spans="1:14" x14ac:dyDescent="0.3">
      <c r="A6" s="13">
        <f>EDATE($A$2,4)</f>
        <v>46357</v>
      </c>
      <c r="B6" s="14">
        <f t="shared" si="0"/>
        <v>2508</v>
      </c>
      <c r="C6" s="14">
        <f t="shared" si="1"/>
        <v>4025.3400000000006</v>
      </c>
      <c r="D6" s="14">
        <f t="shared" si="2"/>
        <v>0</v>
      </c>
      <c r="E6" s="14">
        <f t="shared" si="3"/>
        <v>-501.6</v>
      </c>
      <c r="F6" s="14">
        <f t="shared" si="4"/>
        <v>501.6</v>
      </c>
      <c r="G6" s="14">
        <f t="shared" si="5"/>
        <v>7034.9400000000005</v>
      </c>
      <c r="H6" s="23">
        <f t="shared" si="6"/>
        <v>6706.3814999999995</v>
      </c>
      <c r="I6" s="26">
        <f t="shared" si="7"/>
        <v>1833.3585</v>
      </c>
      <c r="K6">
        <f>EDATE(RSU_Grant_Date,24)</f>
        <v>46827</v>
      </c>
      <c r="L6">
        <f t="shared" si="8"/>
        <v>1037.5</v>
      </c>
      <c r="M6" s="15" t="s">
        <v>84</v>
      </c>
      <c r="N6" s="23">
        <f>SUM(H7:H18)</f>
        <v>29273.777360000007</v>
      </c>
    </row>
    <row r="7" spans="1:14" x14ac:dyDescent="0.3">
      <c r="A7" s="11">
        <f>EDATE($A$2,5)</f>
        <v>46388</v>
      </c>
      <c r="B7" s="12">
        <f t="shared" si="0"/>
        <v>2508</v>
      </c>
      <c r="C7" s="12">
        <f t="shared" si="1"/>
        <v>0</v>
      </c>
      <c r="D7" s="12">
        <f t="shared" si="2"/>
        <v>0</v>
      </c>
      <c r="E7" s="12">
        <f t="shared" si="3"/>
        <v>-501.6</v>
      </c>
      <c r="F7" s="12">
        <f t="shared" si="4"/>
        <v>0</v>
      </c>
      <c r="G7" s="12">
        <f t="shared" si="5"/>
        <v>2508</v>
      </c>
      <c r="H7" s="23">
        <f t="shared" si="6"/>
        <v>1417.9499999999998</v>
      </c>
      <c r="I7" s="26">
        <f t="shared" si="7"/>
        <v>588.45000000000005</v>
      </c>
      <c r="J7">
        <v>2</v>
      </c>
      <c r="K7">
        <f>EDATE(RSU_Grant_Date,36)</f>
        <v>47192</v>
      </c>
      <c r="L7">
        <f t="shared" si="8"/>
        <v>1037.5</v>
      </c>
      <c r="M7" s="15" t="s">
        <v>85</v>
      </c>
      <c r="N7" s="23">
        <f>SUM(H19:H30)</f>
        <v>29372.956523800003</v>
      </c>
    </row>
    <row r="8" spans="1:14" x14ac:dyDescent="0.3">
      <c r="A8" s="11">
        <f>EDATE($A$2,6)</f>
        <v>46419</v>
      </c>
      <c r="B8" s="12">
        <f t="shared" si="0"/>
        <v>2508</v>
      </c>
      <c r="C8" s="12">
        <f t="shared" si="1"/>
        <v>0</v>
      </c>
      <c r="D8" s="12">
        <f t="shared" si="2"/>
        <v>0</v>
      </c>
      <c r="E8" s="12">
        <f t="shared" si="3"/>
        <v>-501.6</v>
      </c>
      <c r="F8" s="12">
        <f t="shared" si="4"/>
        <v>0</v>
      </c>
      <c r="G8" s="12">
        <f t="shared" si="5"/>
        <v>2508</v>
      </c>
      <c r="H8" s="23">
        <f t="shared" si="6"/>
        <v>1417.9499999999998</v>
      </c>
      <c r="I8" s="26">
        <f t="shared" si="7"/>
        <v>588.45000000000005</v>
      </c>
      <c r="J8">
        <v>2</v>
      </c>
      <c r="K8">
        <f>EDATE(RSU_Grant_Date,48)</f>
        <v>47557</v>
      </c>
      <c r="L8">
        <f t="shared" si="8"/>
        <v>1037.5</v>
      </c>
      <c r="M8" s="15" t="s">
        <v>86</v>
      </c>
      <c r="N8" s="23">
        <f>SUM(H31:H42)</f>
        <v>36066.322438620002</v>
      </c>
    </row>
    <row r="9" spans="1:14" x14ac:dyDescent="0.3">
      <c r="A9" s="11">
        <f>EDATE($A$2,7)</f>
        <v>46447</v>
      </c>
      <c r="B9" s="12">
        <f t="shared" si="0"/>
        <v>2508</v>
      </c>
      <c r="C9" s="12">
        <f t="shared" si="1"/>
        <v>0</v>
      </c>
      <c r="D9" s="12">
        <f t="shared" si="2"/>
        <v>1037.5</v>
      </c>
      <c r="E9" s="12">
        <f t="shared" si="3"/>
        <v>-501.6</v>
      </c>
      <c r="F9" s="12">
        <f t="shared" si="4"/>
        <v>0</v>
      </c>
      <c r="G9" s="12">
        <f t="shared" si="5"/>
        <v>3545.5</v>
      </c>
      <c r="H9" s="23">
        <f t="shared" si="6"/>
        <v>2170.1375000000003</v>
      </c>
      <c r="I9" s="26">
        <f t="shared" si="7"/>
        <v>873.76250000000005</v>
      </c>
      <c r="J9">
        <v>2</v>
      </c>
      <c r="K9">
        <f>EDATE(RSU_Grant_Date,60)</f>
        <v>47922</v>
      </c>
      <c r="L9">
        <f t="shared" si="8"/>
        <v>1037.5</v>
      </c>
      <c r="M9" s="15" t="s">
        <v>87</v>
      </c>
      <c r="N9" s="23">
        <f>SUM(H43:H54)</f>
        <v>41460.910803063336</v>
      </c>
    </row>
    <row r="10" spans="1:14" x14ac:dyDescent="0.3">
      <c r="A10" s="11">
        <f>EDATE($A$2,8)</f>
        <v>46478</v>
      </c>
      <c r="B10" s="12">
        <f t="shared" si="0"/>
        <v>2508</v>
      </c>
      <c r="C10" s="12">
        <f t="shared" si="1"/>
        <v>0</v>
      </c>
      <c r="D10" s="12">
        <f t="shared" si="2"/>
        <v>0</v>
      </c>
      <c r="E10" s="12">
        <f t="shared" si="3"/>
        <v>-501.6</v>
      </c>
      <c r="F10" s="12">
        <f t="shared" si="4"/>
        <v>0</v>
      </c>
      <c r="G10" s="12">
        <f t="shared" si="5"/>
        <v>2508</v>
      </c>
      <c r="H10" s="23">
        <f t="shared" si="6"/>
        <v>1417.9499999999998</v>
      </c>
      <c r="I10" s="26">
        <f t="shared" si="7"/>
        <v>588.45000000000005</v>
      </c>
      <c r="J10">
        <v>3</v>
      </c>
      <c r="K10">
        <f>EDATE(RSU_Grant_Date,36)</f>
        <v>47192</v>
      </c>
      <c r="L10">
        <f t="shared" si="8"/>
        <v>1037.5</v>
      </c>
    </row>
    <row r="11" spans="1:14" x14ac:dyDescent="0.3">
      <c r="A11" s="11">
        <f>EDATE($A$2,9)</f>
        <v>46508</v>
      </c>
      <c r="B11" s="12">
        <f t="shared" si="0"/>
        <v>2658.48</v>
      </c>
      <c r="C11" s="12">
        <f t="shared" si="1"/>
        <v>0</v>
      </c>
      <c r="D11" s="12">
        <f t="shared" si="2"/>
        <v>0</v>
      </c>
      <c r="E11" s="12">
        <f t="shared" si="3"/>
        <v>-531.69600000000003</v>
      </c>
      <c r="F11" s="12">
        <f t="shared" si="4"/>
        <v>0</v>
      </c>
      <c r="G11" s="12">
        <f t="shared" si="5"/>
        <v>2658.48</v>
      </c>
      <c r="H11" s="23">
        <f t="shared" si="6"/>
        <v>1496.9520000000002</v>
      </c>
      <c r="I11" s="26">
        <f t="shared" si="7"/>
        <v>629.83199999999999</v>
      </c>
      <c r="J11">
        <v>3</v>
      </c>
      <c r="K11">
        <f>EDATE(RSU_Grant_Date,48)</f>
        <v>47557</v>
      </c>
      <c r="L11">
        <f t="shared" si="8"/>
        <v>1037.5</v>
      </c>
      <c r="M11" s="15" t="s">
        <v>88</v>
      </c>
      <c r="N11" s="23">
        <f>N5-(Living_Expenses_EGP_Monthly_2026/USD_to_EGP)*5</f>
        <v>8678.1814999999988</v>
      </c>
    </row>
    <row r="12" spans="1:14" x14ac:dyDescent="0.3">
      <c r="A12" s="11">
        <f>EDATE($A$2,10)</f>
        <v>46539</v>
      </c>
      <c r="B12" s="12">
        <f t="shared" si="0"/>
        <v>2658.48</v>
      </c>
      <c r="C12" s="12">
        <f t="shared" si="1"/>
        <v>2934.3600000000006</v>
      </c>
      <c r="D12" s="12">
        <f t="shared" si="2"/>
        <v>0</v>
      </c>
      <c r="E12" s="12">
        <f t="shared" si="3"/>
        <v>-531.69600000000003</v>
      </c>
      <c r="F12" s="12">
        <f t="shared" si="4"/>
        <v>759.92399999999998</v>
      </c>
      <c r="G12" s="12">
        <f t="shared" si="5"/>
        <v>6352.7640000000001</v>
      </c>
      <c r="H12" s="23">
        <f t="shared" si="6"/>
        <v>7215.0038999999997</v>
      </c>
      <c r="I12" s="26">
        <f t="shared" si="7"/>
        <v>1645.7601000000002</v>
      </c>
      <c r="J12">
        <v>3</v>
      </c>
      <c r="K12">
        <f>EDATE(RSU_Grant_Date,60)</f>
        <v>47922</v>
      </c>
      <c r="L12">
        <f t="shared" si="8"/>
        <v>1037.5</v>
      </c>
      <c r="M12" s="15" t="s">
        <v>89</v>
      </c>
      <c r="N12" s="23">
        <f>N6-(Living_Expenses_EGP_Monthly_2027/USD_to_EGP)*12</f>
        <v>19505.777360000007</v>
      </c>
    </row>
    <row r="13" spans="1:14" x14ac:dyDescent="0.3">
      <c r="A13" s="11">
        <f>EDATE($A$2,11)</f>
        <v>46569</v>
      </c>
      <c r="B13" s="12">
        <f t="shared" si="0"/>
        <v>2658.48</v>
      </c>
      <c r="C13" s="12">
        <f t="shared" si="1"/>
        <v>0</v>
      </c>
      <c r="D13" s="12">
        <f t="shared" si="2"/>
        <v>0</v>
      </c>
      <c r="E13" s="12">
        <f t="shared" si="3"/>
        <v>-531.69600000000003</v>
      </c>
      <c r="F13" s="12">
        <f t="shared" si="4"/>
        <v>0</v>
      </c>
      <c r="G13" s="12">
        <f t="shared" si="5"/>
        <v>2658.48</v>
      </c>
      <c r="H13" s="23">
        <f t="shared" si="6"/>
        <v>1496.9520000000002</v>
      </c>
      <c r="I13" s="26">
        <f t="shared" si="7"/>
        <v>629.83199999999999</v>
      </c>
      <c r="J13">
        <v>3</v>
      </c>
      <c r="K13">
        <f>EDATE(RSU_Grant_Date,72)</f>
        <v>48288</v>
      </c>
      <c r="L13">
        <f t="shared" si="8"/>
        <v>1037.5</v>
      </c>
      <c r="M13" s="15" t="s">
        <v>90</v>
      </c>
      <c r="N13" s="23">
        <f>N7-(Living_Expenses_EGP_Monthly_2028/USD_to_EGP)*12</f>
        <v>18823.516523800005</v>
      </c>
    </row>
    <row r="14" spans="1:14" x14ac:dyDescent="0.3">
      <c r="A14" s="11">
        <f>EDATE($A$2,12)</f>
        <v>46600</v>
      </c>
      <c r="B14" s="12">
        <f t="shared" si="0"/>
        <v>2658.48</v>
      </c>
      <c r="C14" s="12">
        <f t="shared" si="1"/>
        <v>0</v>
      </c>
      <c r="D14" s="12">
        <f t="shared" si="2"/>
        <v>0</v>
      </c>
      <c r="E14" s="12">
        <f t="shared" si="3"/>
        <v>-531.69600000000003</v>
      </c>
      <c r="F14" s="12">
        <f t="shared" si="4"/>
        <v>0</v>
      </c>
      <c r="G14" s="12">
        <f t="shared" si="5"/>
        <v>2658.48</v>
      </c>
      <c r="H14" s="23">
        <f t="shared" si="6"/>
        <v>1496.9520000000002</v>
      </c>
      <c r="I14" s="23">
        <f t="shared" si="7"/>
        <v>629.83199999999999</v>
      </c>
      <c r="J14">
        <v>4</v>
      </c>
      <c r="K14">
        <f>EDATE(RSU_Grant_Date,48)</f>
        <v>47557</v>
      </c>
      <c r="L14">
        <f t="shared" si="8"/>
        <v>1037.5</v>
      </c>
      <c r="M14" s="15" t="s">
        <v>91</v>
      </c>
      <c r="N14" s="23">
        <f>N8-(Living_Expenses_EGP_Monthly_2029/USD_to_EGP)*12</f>
        <v>24778.421638619999</v>
      </c>
    </row>
    <row r="15" spans="1:14" x14ac:dyDescent="0.3">
      <c r="A15" s="11">
        <f>EDATE($A$2,13)</f>
        <v>46631</v>
      </c>
      <c r="B15" s="12">
        <f t="shared" si="0"/>
        <v>2658.48</v>
      </c>
      <c r="C15" s="12">
        <f t="shared" si="1"/>
        <v>0</v>
      </c>
      <c r="D15" s="12">
        <f t="shared" si="2"/>
        <v>0</v>
      </c>
      <c r="E15" s="12">
        <f t="shared" si="3"/>
        <v>-531.69600000000003</v>
      </c>
      <c r="F15" s="12">
        <f t="shared" si="4"/>
        <v>0</v>
      </c>
      <c r="G15" s="12">
        <f t="shared" si="5"/>
        <v>2658.48</v>
      </c>
      <c r="H15" s="23">
        <f t="shared" si="6"/>
        <v>1496.9520000000002</v>
      </c>
      <c r="I15" s="23">
        <f t="shared" si="7"/>
        <v>629.83199999999999</v>
      </c>
      <c r="J15">
        <v>4</v>
      </c>
      <c r="K15">
        <f>EDATE(RSU_Grant_Date,60)</f>
        <v>47922</v>
      </c>
      <c r="L15">
        <f t="shared" si="8"/>
        <v>1037.5</v>
      </c>
      <c r="M15" s="15" t="s">
        <v>92</v>
      </c>
      <c r="N15" s="23">
        <f>N9-(Living_Expenses_EGP_Monthly_2030/USD_to_EGP)*12</f>
        <v>29495.735955063334</v>
      </c>
    </row>
    <row r="16" spans="1:14" x14ac:dyDescent="0.3">
      <c r="A16" s="11">
        <f>EDATE($A$2,14)</f>
        <v>46661</v>
      </c>
      <c r="B16" s="12">
        <f t="shared" si="0"/>
        <v>2658.48</v>
      </c>
      <c r="C16" s="12">
        <f t="shared" si="1"/>
        <v>0</v>
      </c>
      <c r="D16" s="12">
        <f t="shared" si="2"/>
        <v>0</v>
      </c>
      <c r="E16" s="12">
        <f t="shared" si="3"/>
        <v>-531.69600000000003</v>
      </c>
      <c r="F16" s="12">
        <f t="shared" si="4"/>
        <v>0</v>
      </c>
      <c r="G16" s="12">
        <f t="shared" si="5"/>
        <v>2658.48</v>
      </c>
      <c r="H16" s="23">
        <f t="shared" si="6"/>
        <v>1496.9520000000002</v>
      </c>
      <c r="I16" s="23">
        <f t="shared" si="7"/>
        <v>629.83199999999999</v>
      </c>
      <c r="J16">
        <v>4</v>
      </c>
      <c r="K16">
        <f>EDATE(RSU_Grant_Date,72)</f>
        <v>48288</v>
      </c>
      <c r="L16">
        <f t="shared" si="8"/>
        <v>1037.5</v>
      </c>
    </row>
    <row r="17" spans="1:14" x14ac:dyDescent="0.3">
      <c r="A17" s="11">
        <f>EDATE($A$2,15)</f>
        <v>46692</v>
      </c>
      <c r="B17" s="12">
        <f t="shared" si="0"/>
        <v>2658.48</v>
      </c>
      <c r="C17" s="12">
        <f t="shared" si="1"/>
        <v>0</v>
      </c>
      <c r="D17" s="12">
        <f t="shared" si="2"/>
        <v>0</v>
      </c>
      <c r="E17" s="12">
        <f t="shared" si="3"/>
        <v>-531.69600000000003</v>
      </c>
      <c r="F17" s="12">
        <f t="shared" si="4"/>
        <v>0</v>
      </c>
      <c r="G17" s="12">
        <f t="shared" si="5"/>
        <v>2658.48</v>
      </c>
      <c r="H17" s="23">
        <f t="shared" si="6"/>
        <v>1496.9520000000002</v>
      </c>
      <c r="I17" s="23">
        <f t="shared" si="7"/>
        <v>629.83199999999999</v>
      </c>
      <c r="J17">
        <v>4</v>
      </c>
      <c r="K17">
        <f>EDATE(RSU_Grant_Date,84)</f>
        <v>48653</v>
      </c>
      <c r="L17">
        <f t="shared" si="8"/>
        <v>1037.5</v>
      </c>
      <c r="M17" s="15" t="s">
        <v>93</v>
      </c>
      <c r="N17" s="23">
        <f>SUM(N11:N15)</f>
        <v>101281.63297748336</v>
      </c>
    </row>
    <row r="18" spans="1:14" x14ac:dyDescent="0.3">
      <c r="A18" s="13">
        <f>EDATE($A$2,16)</f>
        <v>46722</v>
      </c>
      <c r="B18" s="14">
        <f t="shared" si="0"/>
        <v>2658.48</v>
      </c>
      <c r="C18" s="14">
        <f t="shared" si="1"/>
        <v>1914.1056000000001</v>
      </c>
      <c r="D18" s="14">
        <f t="shared" si="2"/>
        <v>0</v>
      </c>
      <c r="E18" s="14">
        <f t="shared" si="3"/>
        <v>-531.69600000000003</v>
      </c>
      <c r="F18" s="14">
        <f t="shared" si="4"/>
        <v>797.54399999999998</v>
      </c>
      <c r="G18" s="14">
        <f t="shared" si="5"/>
        <v>5370.1296000000002</v>
      </c>
      <c r="H18" s="23">
        <f t="shared" si="6"/>
        <v>6653.0739599999997</v>
      </c>
      <c r="I18" s="23">
        <f t="shared" si="7"/>
        <v>1375.5356399999998</v>
      </c>
      <c r="K18">
        <f>EDATE(RSU_Grant_Date,60)</f>
        <v>47922</v>
      </c>
      <c r="L18">
        <f t="shared" si="8"/>
        <v>1037.5</v>
      </c>
    </row>
    <row r="19" spans="1:14" x14ac:dyDescent="0.3">
      <c r="A19" s="11">
        <f>EDATE($A$2,17)</f>
        <v>46753</v>
      </c>
      <c r="B19" s="12">
        <f t="shared" si="0"/>
        <v>2658.48</v>
      </c>
      <c r="C19" s="12">
        <f t="shared" si="1"/>
        <v>0</v>
      </c>
      <c r="D19" s="12">
        <f t="shared" si="2"/>
        <v>0</v>
      </c>
      <c r="E19" s="12">
        <f t="shared" si="3"/>
        <v>-531.69600000000003</v>
      </c>
      <c r="F19" s="12">
        <f t="shared" si="4"/>
        <v>0</v>
      </c>
      <c r="G19" s="12">
        <f t="shared" si="5"/>
        <v>2658.48</v>
      </c>
      <c r="H19" s="23">
        <f t="shared" si="6"/>
        <v>1496.9520000000002</v>
      </c>
      <c r="I19" s="26">
        <f t="shared" si="7"/>
        <v>629.83199999999999</v>
      </c>
      <c r="J19">
        <v>5</v>
      </c>
      <c r="K19">
        <f>EDATE(RSU_Grant_Date,72)</f>
        <v>48288</v>
      </c>
      <c r="L19">
        <f t="shared" si="8"/>
        <v>1037.5</v>
      </c>
    </row>
    <row r="20" spans="1:14" x14ac:dyDescent="0.3">
      <c r="A20" s="11">
        <f>EDATE($A$2,18)</f>
        <v>46784</v>
      </c>
      <c r="B20" s="12">
        <f t="shared" si="0"/>
        <v>2658.48</v>
      </c>
      <c r="C20" s="12">
        <f t="shared" si="1"/>
        <v>0</v>
      </c>
      <c r="D20" s="12">
        <f t="shared" si="2"/>
        <v>0</v>
      </c>
      <c r="E20" s="12">
        <f t="shared" si="3"/>
        <v>-531.69600000000003</v>
      </c>
      <c r="F20" s="12">
        <f t="shared" si="4"/>
        <v>0</v>
      </c>
      <c r="G20" s="12">
        <f t="shared" si="5"/>
        <v>2658.48</v>
      </c>
      <c r="H20" s="23">
        <f t="shared" si="6"/>
        <v>1496.9520000000002</v>
      </c>
      <c r="I20" s="26">
        <f t="shared" si="7"/>
        <v>629.83199999999999</v>
      </c>
      <c r="J20">
        <v>5</v>
      </c>
      <c r="K20">
        <f>EDATE(RSU_Grant_Date,84)</f>
        <v>48653</v>
      </c>
      <c r="L20">
        <f t="shared" si="8"/>
        <v>1037.5</v>
      </c>
      <c r="M20" s="24"/>
    </row>
    <row r="21" spans="1:14" x14ac:dyDescent="0.3">
      <c r="A21" s="11">
        <f>EDATE($A$2,19)</f>
        <v>46813</v>
      </c>
      <c r="B21" s="12">
        <f t="shared" si="0"/>
        <v>2658.48</v>
      </c>
      <c r="C21" s="12">
        <f t="shared" si="1"/>
        <v>0</v>
      </c>
      <c r="D21" s="12">
        <f t="shared" si="2"/>
        <v>2075</v>
      </c>
      <c r="E21" s="12">
        <f t="shared" si="3"/>
        <v>-531.69600000000003</v>
      </c>
      <c r="F21" s="12">
        <f t="shared" si="4"/>
        <v>0</v>
      </c>
      <c r="G21" s="12">
        <f t="shared" si="5"/>
        <v>4733.4799999999996</v>
      </c>
      <c r="H21" s="23">
        <f t="shared" si="6"/>
        <v>3001.3269999999998</v>
      </c>
      <c r="I21" s="26">
        <f t="shared" si="7"/>
        <v>1200.4569999999999</v>
      </c>
      <c r="J21">
        <v>5</v>
      </c>
      <c r="K21">
        <f>EDATE(RSU_Grant_Date,96)</f>
        <v>49018</v>
      </c>
      <c r="L21">
        <f t="shared" si="8"/>
        <v>1037.5</v>
      </c>
      <c r="M21" s="25"/>
    </row>
    <row r="22" spans="1:14" x14ac:dyDescent="0.3">
      <c r="A22" s="11">
        <f>EDATE($A$2,20)</f>
        <v>46844</v>
      </c>
      <c r="B22" s="12">
        <f t="shared" si="0"/>
        <v>2658.48</v>
      </c>
      <c r="C22" s="12">
        <f t="shared" si="1"/>
        <v>0</v>
      </c>
      <c r="D22" s="12">
        <f t="shared" si="2"/>
        <v>0</v>
      </c>
      <c r="E22" s="12">
        <f t="shared" si="3"/>
        <v>-531.69600000000003</v>
      </c>
      <c r="F22" s="12">
        <f t="shared" si="4"/>
        <v>0</v>
      </c>
      <c r="G22" s="12">
        <f t="shared" si="5"/>
        <v>2658.48</v>
      </c>
      <c r="H22" s="23">
        <f t="shared" si="6"/>
        <v>1496.9520000000002</v>
      </c>
      <c r="I22" s="26">
        <f t="shared" si="7"/>
        <v>629.83199999999999</v>
      </c>
      <c r="J22">
        <v>6</v>
      </c>
      <c r="K22">
        <f>EDATE(RSU_Grant_Date,72)</f>
        <v>48288</v>
      </c>
      <c r="L22">
        <f t="shared" si="8"/>
        <v>1037.5</v>
      </c>
      <c r="M22" s="24"/>
    </row>
    <row r="23" spans="1:14" x14ac:dyDescent="0.3">
      <c r="A23" s="11">
        <f>EDATE($A$2,21)</f>
        <v>46874</v>
      </c>
      <c r="B23" s="12">
        <f t="shared" si="0"/>
        <v>2844.5736000000002</v>
      </c>
      <c r="C23" s="12">
        <f t="shared" si="1"/>
        <v>0</v>
      </c>
      <c r="D23" s="12">
        <f t="shared" si="2"/>
        <v>0</v>
      </c>
      <c r="E23" s="12">
        <f t="shared" si="3"/>
        <v>-568.9147200000001</v>
      </c>
      <c r="F23" s="12">
        <f t="shared" si="4"/>
        <v>0</v>
      </c>
      <c r="G23" s="12">
        <f t="shared" si="5"/>
        <v>2844.5736000000002</v>
      </c>
      <c r="H23" s="23">
        <f t="shared" si="6"/>
        <v>1594.6511399999999</v>
      </c>
      <c r="I23" s="26">
        <f t="shared" si="7"/>
        <v>681.00774000000013</v>
      </c>
      <c r="J23">
        <v>6</v>
      </c>
      <c r="K23">
        <f>EDATE(RSU_Grant_Date,84)</f>
        <v>48653</v>
      </c>
      <c r="L23">
        <f t="shared" si="8"/>
        <v>1037.5</v>
      </c>
      <c r="M23" s="25"/>
    </row>
    <row r="24" spans="1:14" x14ac:dyDescent="0.3">
      <c r="A24" s="11">
        <f>EDATE($A$2,22)</f>
        <v>46905</v>
      </c>
      <c r="B24" s="12">
        <f t="shared" si="0"/>
        <v>2844.5736000000002</v>
      </c>
      <c r="C24" s="12">
        <f t="shared" si="1"/>
        <v>398.77200000000005</v>
      </c>
      <c r="D24" s="12">
        <f t="shared" si="2"/>
        <v>0</v>
      </c>
      <c r="E24" s="12">
        <f t="shared" si="3"/>
        <v>-568.9147200000001</v>
      </c>
      <c r="F24" s="12">
        <f t="shared" si="4"/>
        <v>806.84868000000006</v>
      </c>
      <c r="G24" s="12">
        <f t="shared" si="5"/>
        <v>4050.1942800000002</v>
      </c>
      <c r="H24" s="23">
        <f t="shared" si="6"/>
        <v>5696.1208530000004</v>
      </c>
      <c r="I24" s="26">
        <f t="shared" si="7"/>
        <v>1012.5534269999999</v>
      </c>
      <c r="J24">
        <v>6</v>
      </c>
      <c r="K24">
        <f>EDATE(RSU_Grant_Date,96)</f>
        <v>49018</v>
      </c>
      <c r="L24">
        <f t="shared" si="8"/>
        <v>1037.5</v>
      </c>
      <c r="M24" s="24"/>
    </row>
    <row r="25" spans="1:14" x14ac:dyDescent="0.3">
      <c r="A25" s="11">
        <f>EDATE($A$2,23)</f>
        <v>46935</v>
      </c>
      <c r="B25" s="12">
        <f t="shared" si="0"/>
        <v>2844.5736000000002</v>
      </c>
      <c r="C25" s="12">
        <f t="shared" si="1"/>
        <v>0</v>
      </c>
      <c r="D25" s="12">
        <f t="shared" si="2"/>
        <v>0</v>
      </c>
      <c r="E25" s="12">
        <f t="shared" si="3"/>
        <v>-568.9147200000001</v>
      </c>
      <c r="F25" s="12">
        <f t="shared" si="4"/>
        <v>0</v>
      </c>
      <c r="G25" s="12">
        <f t="shared" si="5"/>
        <v>2844.5736000000002</v>
      </c>
      <c r="H25" s="23">
        <f t="shared" si="6"/>
        <v>1594.6511399999999</v>
      </c>
      <c r="I25" s="26">
        <f t="shared" si="7"/>
        <v>681.00774000000013</v>
      </c>
      <c r="J25">
        <v>6</v>
      </c>
      <c r="K25">
        <f>EDATE(RSU_Grant_Date,108)</f>
        <v>49383</v>
      </c>
      <c r="L25">
        <f t="shared" si="8"/>
        <v>1037.5</v>
      </c>
      <c r="M25" s="24"/>
    </row>
    <row r="26" spans="1:14" x14ac:dyDescent="0.3">
      <c r="A26" s="11">
        <f>EDATE($A$2,24)</f>
        <v>46966</v>
      </c>
      <c r="B26" s="12">
        <f t="shared" si="0"/>
        <v>2844.5736000000002</v>
      </c>
      <c r="C26" s="12">
        <f t="shared" si="1"/>
        <v>0</v>
      </c>
      <c r="D26" s="12">
        <f t="shared" si="2"/>
        <v>0</v>
      </c>
      <c r="E26" s="12">
        <f t="shared" si="3"/>
        <v>-568.9147200000001</v>
      </c>
      <c r="F26" s="12">
        <f t="shared" si="4"/>
        <v>0</v>
      </c>
      <c r="G26" s="12">
        <f t="shared" si="5"/>
        <v>2844.5736000000002</v>
      </c>
      <c r="H26" s="23">
        <f t="shared" si="6"/>
        <v>1594.6511399999999</v>
      </c>
      <c r="I26" s="26">
        <f t="shared" si="7"/>
        <v>681.00774000000013</v>
      </c>
      <c r="J26">
        <v>7</v>
      </c>
      <c r="K26">
        <f>EDATE(RSU_Grant_Date,84)</f>
        <v>48653</v>
      </c>
      <c r="L26">
        <f t="shared" si="8"/>
        <v>1037.5</v>
      </c>
    </row>
    <row r="27" spans="1:14" x14ac:dyDescent="0.3">
      <c r="A27" s="11">
        <f>EDATE($A$2,25)</f>
        <v>46997</v>
      </c>
      <c r="B27" s="12">
        <f t="shared" si="0"/>
        <v>2844.5736000000002</v>
      </c>
      <c r="C27" s="12">
        <f t="shared" si="1"/>
        <v>0</v>
      </c>
      <c r="D27" s="12">
        <f t="shared" si="2"/>
        <v>0</v>
      </c>
      <c r="E27" s="12">
        <f t="shared" si="3"/>
        <v>-568.9147200000001</v>
      </c>
      <c r="F27" s="12">
        <f t="shared" si="4"/>
        <v>0</v>
      </c>
      <c r="G27" s="12">
        <f t="shared" si="5"/>
        <v>2844.5736000000002</v>
      </c>
      <c r="H27" s="23">
        <f t="shared" si="6"/>
        <v>1594.6511399999999</v>
      </c>
      <c r="I27" s="26">
        <f t="shared" si="7"/>
        <v>681.00774000000013</v>
      </c>
      <c r="J27">
        <v>7</v>
      </c>
      <c r="K27">
        <f>EDATE(RSU_Grant_Date,96)</f>
        <v>49018</v>
      </c>
      <c r="L27">
        <f t="shared" si="8"/>
        <v>1037.5</v>
      </c>
    </row>
    <row r="28" spans="1:14" x14ac:dyDescent="0.3">
      <c r="A28" s="11">
        <f>EDATE($A$2,26)</f>
        <v>47027</v>
      </c>
      <c r="B28" s="12">
        <f t="shared" si="0"/>
        <v>2844.5736000000002</v>
      </c>
      <c r="C28" s="12">
        <f t="shared" si="1"/>
        <v>0</v>
      </c>
      <c r="D28" s="12">
        <f t="shared" si="2"/>
        <v>0</v>
      </c>
      <c r="E28" s="12">
        <f t="shared" si="3"/>
        <v>-568.9147200000001</v>
      </c>
      <c r="F28" s="12">
        <f t="shared" si="4"/>
        <v>0</v>
      </c>
      <c r="G28" s="12">
        <f t="shared" si="5"/>
        <v>2844.5736000000002</v>
      </c>
      <c r="H28" s="23">
        <f t="shared" si="6"/>
        <v>1594.6511399999999</v>
      </c>
      <c r="I28" s="26">
        <f t="shared" si="7"/>
        <v>681.00774000000013</v>
      </c>
      <c r="J28">
        <v>7</v>
      </c>
      <c r="K28">
        <f>EDATE(RSU_Grant_Date,108)</f>
        <v>49383</v>
      </c>
      <c r="L28">
        <f t="shared" si="8"/>
        <v>1037.5</v>
      </c>
    </row>
    <row r="29" spans="1:14" x14ac:dyDescent="0.3">
      <c r="A29" s="11">
        <f>EDATE($A$2,27)</f>
        <v>47058</v>
      </c>
      <c r="B29" s="12">
        <f t="shared" si="0"/>
        <v>2844.5736000000002</v>
      </c>
      <c r="C29" s="12">
        <f t="shared" si="1"/>
        <v>0</v>
      </c>
      <c r="D29" s="12">
        <f t="shared" si="2"/>
        <v>0</v>
      </c>
      <c r="E29" s="12">
        <f t="shared" si="3"/>
        <v>-568.9147200000001</v>
      </c>
      <c r="F29" s="12">
        <f t="shared" si="4"/>
        <v>0</v>
      </c>
      <c r="G29" s="12">
        <f t="shared" si="5"/>
        <v>2844.5736000000002</v>
      </c>
      <c r="H29" s="23">
        <f t="shared" si="6"/>
        <v>1594.6511399999999</v>
      </c>
      <c r="I29" s="26">
        <f t="shared" si="7"/>
        <v>681.00774000000013</v>
      </c>
      <c r="J29">
        <v>7</v>
      </c>
      <c r="K29">
        <f>EDATE(RSU_Grant_Date,120)</f>
        <v>49749</v>
      </c>
      <c r="L29">
        <f t="shared" si="8"/>
        <v>1037.5</v>
      </c>
    </row>
    <row r="30" spans="1:14" x14ac:dyDescent="0.3">
      <c r="A30" s="13">
        <f>EDATE($A$2,28)</f>
        <v>47088</v>
      </c>
      <c r="B30" s="14">
        <f t="shared" si="0"/>
        <v>2844.5736000000002</v>
      </c>
      <c r="C30" s="14">
        <f t="shared" si="1"/>
        <v>1365.3953280000001</v>
      </c>
      <c r="D30" s="14">
        <f t="shared" si="2"/>
        <v>0</v>
      </c>
      <c r="E30" s="14">
        <f t="shared" si="3"/>
        <v>-568.9147200000001</v>
      </c>
      <c r="F30" s="14">
        <f t="shared" si="4"/>
        <v>853.3720800000001</v>
      </c>
      <c r="G30" s="14">
        <f t="shared" si="5"/>
        <v>5063.3410080000003</v>
      </c>
      <c r="H30" s="23">
        <f t="shared" si="6"/>
        <v>6616.7458308000014</v>
      </c>
      <c r="I30" s="26">
        <f t="shared" si="7"/>
        <v>1291.1687771999998</v>
      </c>
      <c r="K30">
        <f>EDATE(RSU_Grant_Date,96)</f>
        <v>49018</v>
      </c>
      <c r="L30">
        <f t="shared" si="8"/>
        <v>1037.5</v>
      </c>
    </row>
    <row r="31" spans="1:14" x14ac:dyDescent="0.3">
      <c r="A31" s="11">
        <f>EDATE($A$2,29)</f>
        <v>47119</v>
      </c>
      <c r="B31" s="12">
        <f t="shared" si="0"/>
        <v>2844.5736000000002</v>
      </c>
      <c r="C31" s="12">
        <f t="shared" si="1"/>
        <v>0</v>
      </c>
      <c r="D31" s="12">
        <f t="shared" si="2"/>
        <v>0</v>
      </c>
      <c r="E31" s="12">
        <f t="shared" si="3"/>
        <v>-568.9147200000001</v>
      </c>
      <c r="F31" s="12">
        <f t="shared" si="4"/>
        <v>0</v>
      </c>
      <c r="G31" s="12">
        <f t="shared" si="5"/>
        <v>2844.5736000000002</v>
      </c>
      <c r="H31" s="23">
        <f t="shared" si="6"/>
        <v>1594.6511399999999</v>
      </c>
      <c r="I31" s="26">
        <f t="shared" si="7"/>
        <v>681.00774000000013</v>
      </c>
      <c r="J31">
        <v>8</v>
      </c>
      <c r="K31">
        <f>EDATE(RSU_Grant_Date,108)</f>
        <v>49383</v>
      </c>
      <c r="L31">
        <f t="shared" si="8"/>
        <v>1037.5</v>
      </c>
    </row>
    <row r="32" spans="1:14" x14ac:dyDescent="0.3">
      <c r="A32" s="11">
        <f>EDATE($A$2,30)</f>
        <v>47150</v>
      </c>
      <c r="B32" s="12">
        <f t="shared" si="0"/>
        <v>2844.5736000000002</v>
      </c>
      <c r="C32" s="12">
        <f t="shared" si="1"/>
        <v>0</v>
      </c>
      <c r="D32" s="12">
        <f t="shared" si="2"/>
        <v>0</v>
      </c>
      <c r="E32" s="12">
        <f t="shared" si="3"/>
        <v>-568.9147200000001</v>
      </c>
      <c r="F32" s="12">
        <f t="shared" si="4"/>
        <v>0</v>
      </c>
      <c r="G32" s="12">
        <f t="shared" si="5"/>
        <v>2844.5736000000002</v>
      </c>
      <c r="H32" s="23">
        <f t="shared" si="6"/>
        <v>1594.6511399999999</v>
      </c>
      <c r="I32" s="26">
        <f t="shared" si="7"/>
        <v>681.00774000000013</v>
      </c>
      <c r="J32">
        <v>8</v>
      </c>
      <c r="K32">
        <f>EDATE(RSU_Grant_Date,120)</f>
        <v>49749</v>
      </c>
      <c r="L32">
        <f t="shared" si="8"/>
        <v>1037.5</v>
      </c>
    </row>
    <row r="33" spans="1:12" x14ac:dyDescent="0.3">
      <c r="A33" s="11">
        <f>EDATE($A$2,31)</f>
        <v>47178</v>
      </c>
      <c r="B33" s="12">
        <f t="shared" si="0"/>
        <v>2844.5736000000002</v>
      </c>
      <c r="C33" s="12">
        <f t="shared" si="1"/>
        <v>0</v>
      </c>
      <c r="D33" s="12">
        <f t="shared" si="2"/>
        <v>3112.5</v>
      </c>
      <c r="E33" s="12">
        <f t="shared" si="3"/>
        <v>-568.9147200000001</v>
      </c>
      <c r="F33" s="12">
        <f t="shared" si="4"/>
        <v>0</v>
      </c>
      <c r="G33" s="12">
        <f t="shared" si="5"/>
        <v>5957.0735999999997</v>
      </c>
      <c r="H33" s="23">
        <f t="shared" si="6"/>
        <v>3851.2136399999995</v>
      </c>
      <c r="I33" s="26">
        <f t="shared" si="7"/>
        <v>1536.9452400000002</v>
      </c>
      <c r="J33">
        <v>8</v>
      </c>
      <c r="K33">
        <f>EDATE(RSU_Grant_Date,132)</f>
        <v>50114</v>
      </c>
      <c r="L33">
        <f t="shared" si="8"/>
        <v>1037.5</v>
      </c>
    </row>
    <row r="34" spans="1:12" x14ac:dyDescent="0.3">
      <c r="A34" s="11">
        <f>EDATE($A$2,32)</f>
        <v>47209</v>
      </c>
      <c r="B34" s="12">
        <f t="shared" ref="B34:B54" si="9">IF($A34&gt;=DATE(2030,5,1),Base_Annual_Salary*(1+Raise_Pct_May2027)*(1+Raise_Pct_May2028)*(1+Raise_Pct_May2029)*(1+Raise_Pct_May2030)/12,IF($A34&gt;=DATE(2029,5,1),Base_Annual_Salary*(1+Raise_Pct_May2027)*(1+Raise_Pct_May2028)*(1+Raise_Pct_May2029)/12,IF($A34&gt;=DATE(2028,5,1),Base_Annual_Salary*(1+Raise_Pct_May2027)*(1+Raise_Pct_May2028)/12,IF($A34&gt;=DATE(2027,5,1),Base_Annual_Salary*(1+Raise_Pct_May2027)/12,Base_Annual_Salary/12))))</f>
        <v>2844.5736000000002</v>
      </c>
      <c r="C34" s="12">
        <f t="shared" ref="C34:C54" si="10">IF(MONTH($A34)=6,IFERROR(3*(INDEX(QuarterMult_Range, MATCH("Q1 "&amp;YEAR($A34), QuarterKey_Range, 0))*IF(DATE(YEAR($A34)-1,11,1)&gt;=DATE(2030,5,1),Base_Annual_Salary*(1+Raise_Pct_May2027)*(1+Raise_Pct_May2028)*(1+Raise_Pct_May2029)*(1+Raise_Pct_May2030)/12,IF(DATE(YEAR($A34)-1,11,1)&gt;=DATE(2029,5,1),Base_Annual_Salary*(1+Raise_Pct_May2027)*(1+Raise_Pct_May2028)*(1+Raise_Pct_May2029)/12,IF(DATE(YEAR($A34)-1,11,1)&gt;=DATE(2028,5,1),Base_Annual_Salary*(1+Raise_Pct_May2027)*(1+Raise_Pct_May2028)/12,IF(DATE(YEAR($A34)-1,11,1)&gt;=DATE(2027,5,1),Base_Annual_Salary*(1+Raise_Pct_May2027)/12,Base_Annual_Salary/12))))*IF(DATE(YEAR($A34)-1,11,1)&gt;=DATE(2030,5,1),Bonus_Pct_P5,IF(DATE(YEAR($A34)-1,11,1)&gt;=DATE(2029,5,1),Bonus_Pct_P4,IF(DATE(YEAR($A34)-1,11,1)&gt;=DATE(2028,5,1),Bonus_Pct_P3,IF(DATE(YEAR($A34)-1,11,1)&gt;=DATE(2027,5,1),Bonus_Pct_P2,Bonus_Pct_P1))))+INDEX(QuarterMult_Range, MATCH("Q2 "&amp;YEAR($A34), QuarterKey_Range, 0))*IF(DATE(YEAR($A34),2,1)&gt;=DATE(2030,5,1),Base_Annual_Salary*(1+Raise_Pct_May2027)*(1+Raise_Pct_May2028)*(1+Raise_Pct_May2029)*(1+Raise_Pct_May2030)/12,IF(DATE(YEAR($A34),2,1)&gt;=DATE(2029,5,1),Base_Annual_Salary*(1+Raise_Pct_May2027)*(1+Raise_Pct_May2028)*(1+Raise_Pct_May2029)/12,IF(DATE(YEAR($A34),2,1)&gt;=DATE(2028,5,1),Base_Annual_Salary*(1+Raise_Pct_May2027)*(1+Raise_Pct_May2028)/12,IF(DATE(YEAR($A34),2,1)&gt;=DATE(2027,5,1),Base_Annual_Salary*(1+Raise_Pct_May2027)/12,Base_Annual_Salary/12))))*IF(DATE(YEAR($A34),2,1)&gt;=DATE(2030,5,1),Bonus_Pct_P5,IF(DATE(YEAR($A34),2,1)&gt;=DATE(2029,5,1),Bonus_Pct_P4,IF(DATE(YEAR($A34),2,1)&gt;=DATE(2028,5,1),Bonus_Pct_P3,IF(DATE(YEAR($A34),2,1)&gt;=DATE(2027,5,1),Bonus_Pct_P2,Bonus_Pct_P1))))),0),IF(MONTH($A34)=12,IFERROR(3*(INDEX(QuarterMult_Range, MATCH("Q3 "&amp;YEAR($A34), QuarterKey_Range, 0))*IF(DATE(YEAR($A34),5,1)&gt;=DATE(2030,5,1),Base_Annual_Salary*(1+Raise_Pct_May2027)*(1+Raise_Pct_May2028)*(1+Raise_Pct_May2029)*(1+Raise_Pct_May2030)/12,IF(DATE(YEAR($A34),5,1)&gt;=DATE(2029,5,1),Base_Annual_Salary*(1+Raise_Pct_May2027)*(1+Raise_Pct_May2028)*(1+Raise_Pct_May2029)/12,IF(DATE(YEAR($A34),5,1)&gt;=DATE(2028,5,1),Base_Annual_Salary*(1+Raise_Pct_May2027)*(1+Raise_Pct_May2028)/12,IF(DATE(YEAR($A34),5,1)&gt;=DATE(2027,5,1),Base_Annual_Salary*(1+Raise_Pct_May2027)/12,Base_Annual_Salary/12))))*IF(DATE(YEAR($A34),5,1)&gt;=DATE(2030,5,1),Bonus_Pct_P5,IF(DATE(YEAR($A34),5,1)&gt;=DATE(2029,5,1),Bonus_Pct_P4,IF(DATE(YEAR($A34),5,1)&gt;=DATE(2028,5,1),Bonus_Pct_P3,IF(DATE(YEAR($A34),5,1)&gt;=DATE(2027,5,1),Bonus_Pct_P2,Bonus_Pct_P1))))+INDEX(QuarterMult_Range, MATCH("Q4 "&amp;YEAR($A34), QuarterKey_Range, 0))*IF(DATE(YEAR($A34),8,1)&gt;=DATE(2030,5,1),Base_Annual_Salary*(1+Raise_Pct_May2027)*(1+Raise_Pct_May2028)*(1+Raise_Pct_May2029)*(1+Raise_Pct_May2030)/12,IF(DATE(YEAR($A34),8,1)&gt;=DATE(2029,5,1),Base_Annual_Salary*(1+Raise_Pct_May2027)*(1+Raise_Pct_May2028)*(1+Raise_Pct_May2029)/12,IF(DATE(YEAR($A34),8,1)&gt;=DATE(2028,5,1),Base_Annual_Salary*(1+Raise_Pct_May2027)*(1+Raise_Pct_May2028)/12,IF(DATE(YEAR($A34),8,1)&gt;=DATE(2027,5,1),Base_Annual_Salary*(1+Raise_Pct_May2027)/12,Base_Annual_Salary/12))))*IF(DATE(YEAR($A34),8,1)&gt;=DATE(2030,5,1),Bonus_Pct_P5,IF(DATE(YEAR($A34),8,1)&gt;=DATE(2029,5,1),Bonus_Pct_P4,IF(DATE(YEAR($A34),8,1)&gt;=DATE(2028,5,1),Bonus_Pct_P3,IF(DATE(YEAR($A34),8,1)&gt;=DATE(2027,5,1),Bonus_Pct_P2,Bonus_Pct_P1))))),0),0))</f>
        <v>0</v>
      </c>
      <c r="D34" s="12">
        <f t="shared" ref="D34:D54" si="11">SUMIFS($L$2:$L$33,$K$2:$K$33,"&gt;="&amp;$A34,$K$2:$K$33,"&lt;"&amp;EDATE($A34,1))</f>
        <v>0</v>
      </c>
      <c r="E34" s="12">
        <f t="shared" ref="E34:E53" si="12">-B34*ESPP_Contrib_Pct</f>
        <v>-568.9147200000001</v>
      </c>
      <c r="F34" s="12">
        <f t="shared" ref="F34:F54" si="13">(IF(MONTH($A34)=12,(-SUMIFS($E$2:$E$54,$A$2:$A$54,"&gt;="&amp;DATE(YEAR($A34),6,1),$A$2:$A$54,"&lt;="&amp;DATE(YEAR($A34),11,1)))/(1-ESPP_Discount),IF(MONTH($A34)=6,(-SUMIFS($E$2:$E$54,$A$2:$A$54,"&gt;="&amp;DATE(YEAR($A34)-1,12,1),$A$2:$A$54,"&lt;="&amp;DATE(YEAR($A34),5,1)))/(1-ESPP_Discount),0)))*ESPP_Discount</f>
        <v>0</v>
      </c>
      <c r="G34" s="12">
        <f t="shared" ref="G34:G54" si="14">SUM(B34,C34,D34,F34)</f>
        <v>2844.5736000000002</v>
      </c>
      <c r="H34" s="23">
        <f t="shared" ref="H34:H54" si="15">G34-I34+E34+IF(MONTH($A34)=12,-SUMIFS($E$2:$E$54,$A$2:$A$54,"&gt;="&amp;DATE(YEAR($A34),6,1),$A$2:$A$54,"&lt;="&amp;DATE(YEAR($A34),11,1)),IF(MONTH($A34)=6,-SUMIFS($E$2:$E$54,$A$2:$A$54,"&gt;="&amp;DATE(YEAR($A34)-1,12,1),$A$2:$A$54,"&lt;="&amp;DATE(YEAR($A34),5,1)),0))</f>
        <v>1594.6511399999999</v>
      </c>
      <c r="I34" s="26">
        <f t="shared" ref="I34:I54" si="16">_xlfn.SINGLE(_xlfn.LET(_xlpm.g, $G34, _xlpm.fx, USD_to_EGP, _xlpm.annual, _xlfn.SINGLE(_xlpm.g) * _xlfn.SINGLE(_xlpm.fx) * 12, _xlpm.ex, 20000, _xlpm.tx, MAX(0, _xlfn.SINGLE(_xlpm.annual) - _xlfn.SINGLE(_xlpm.ex)), _xlpm.tax_annual, 0 * MIN(_xlpm.tx, 40000) + 0.1 * MAX(0, MIN(_xlpm.tx, 55000) - 40000) + 0.15 * MAX(0, MIN(_xlpm.tx, 70000) - 55000) + 0.2 * MAX(0, MIN(_xlpm.tx, 200000) - 70000) + 0.225 * MAX(0, MIN(_xlpm.tx, 400000) - 200000) + 0.25 * MAX(0, MIN(_xlpm.tx, 1200000) - 400000) + 0.275 * MAX(0, _xlfn.SINGLE(_xlpm.tx) - 1200000), _xlfn.SINGLE(_xlpm.tax_annual) / (12 * _xlfn.SINGLE(_xlpm.fx))))</f>
        <v>681.00774000000013</v>
      </c>
    </row>
    <row r="35" spans="1:12" x14ac:dyDescent="0.3">
      <c r="A35" s="11">
        <f>EDATE($A$2,33)</f>
        <v>47239</v>
      </c>
      <c r="B35" s="12">
        <f t="shared" si="9"/>
        <v>3072.1394880000007</v>
      </c>
      <c r="C35" s="12">
        <f t="shared" si="10"/>
        <v>0</v>
      </c>
      <c r="D35" s="12">
        <f t="shared" si="11"/>
        <v>0</v>
      </c>
      <c r="E35" s="12">
        <f t="shared" si="12"/>
        <v>-614.42789760000016</v>
      </c>
      <c r="F35" s="12">
        <f t="shared" si="13"/>
        <v>0</v>
      </c>
      <c r="G35" s="12">
        <f t="shared" si="14"/>
        <v>3072.1394880000007</v>
      </c>
      <c r="H35" s="23">
        <f t="shared" si="15"/>
        <v>1714.1232312000006</v>
      </c>
      <c r="I35" s="26">
        <f t="shared" si="16"/>
        <v>743.58835920000024</v>
      </c>
    </row>
    <row r="36" spans="1:12" x14ac:dyDescent="0.3">
      <c r="A36" s="11">
        <f>EDATE($A$2,34)</f>
        <v>47270</v>
      </c>
      <c r="B36" s="12">
        <f t="shared" si="9"/>
        <v>3072.1394880000007</v>
      </c>
      <c r="C36" s="12">
        <f t="shared" si="10"/>
        <v>2901.465072</v>
      </c>
      <c r="D36" s="12">
        <f t="shared" si="11"/>
        <v>0</v>
      </c>
      <c r="E36" s="12">
        <f t="shared" si="12"/>
        <v>-614.42789760000016</v>
      </c>
      <c r="F36" s="12">
        <f t="shared" si="13"/>
        <v>864.75037440000017</v>
      </c>
      <c r="G36" s="12">
        <f t="shared" si="14"/>
        <v>6838.3549344000012</v>
      </c>
      <c r="H36" s="23">
        <f t="shared" si="15"/>
        <v>7903.630927440001</v>
      </c>
      <c r="I36" s="26">
        <f t="shared" si="16"/>
        <v>1779.2976069600004</v>
      </c>
    </row>
    <row r="37" spans="1:12" x14ac:dyDescent="0.3">
      <c r="A37" s="11">
        <f>EDATE($A$2,35)</f>
        <v>47300</v>
      </c>
      <c r="B37" s="12">
        <f t="shared" si="9"/>
        <v>3072.1394880000007</v>
      </c>
      <c r="C37" s="12">
        <f t="shared" si="10"/>
        <v>0</v>
      </c>
      <c r="D37" s="12">
        <f t="shared" si="11"/>
        <v>0</v>
      </c>
      <c r="E37" s="12">
        <f t="shared" si="12"/>
        <v>-614.42789760000016</v>
      </c>
      <c r="F37" s="12">
        <f t="shared" si="13"/>
        <v>0</v>
      </c>
      <c r="G37" s="12">
        <f t="shared" si="14"/>
        <v>3072.1394880000007</v>
      </c>
      <c r="H37" s="23">
        <f t="shared" si="15"/>
        <v>1714.1232312000006</v>
      </c>
      <c r="I37" s="26">
        <f t="shared" si="16"/>
        <v>743.58835920000024</v>
      </c>
    </row>
    <row r="38" spans="1:12" x14ac:dyDescent="0.3">
      <c r="A38" s="11">
        <f>EDATE($A$2,36)</f>
        <v>47331</v>
      </c>
      <c r="B38" s="12">
        <f t="shared" si="9"/>
        <v>3072.1394880000007</v>
      </c>
      <c r="C38" s="12">
        <f t="shared" si="10"/>
        <v>0</v>
      </c>
      <c r="D38" s="12">
        <f t="shared" si="11"/>
        <v>0</v>
      </c>
      <c r="E38" s="12">
        <f t="shared" si="12"/>
        <v>-614.42789760000016</v>
      </c>
      <c r="F38" s="12">
        <f t="shared" si="13"/>
        <v>0</v>
      </c>
      <c r="G38" s="12">
        <f t="shared" si="14"/>
        <v>3072.1394880000007</v>
      </c>
      <c r="H38" s="23">
        <f t="shared" si="15"/>
        <v>1714.1232312000006</v>
      </c>
      <c r="I38" s="26">
        <f t="shared" si="16"/>
        <v>743.58835920000024</v>
      </c>
    </row>
    <row r="39" spans="1:12" x14ac:dyDescent="0.3">
      <c r="A39" s="11">
        <f>EDATE($A$2,37)</f>
        <v>47362</v>
      </c>
      <c r="B39" s="12">
        <f t="shared" si="9"/>
        <v>3072.1394880000007</v>
      </c>
      <c r="C39" s="12">
        <f t="shared" si="10"/>
        <v>0</v>
      </c>
      <c r="D39" s="12">
        <f t="shared" si="11"/>
        <v>0</v>
      </c>
      <c r="E39" s="12">
        <f t="shared" si="12"/>
        <v>-614.42789760000016</v>
      </c>
      <c r="F39" s="12">
        <f t="shared" si="13"/>
        <v>0</v>
      </c>
      <c r="G39" s="12">
        <f t="shared" si="14"/>
        <v>3072.1394880000007</v>
      </c>
      <c r="H39" s="23">
        <f t="shared" si="15"/>
        <v>1714.1232312000006</v>
      </c>
      <c r="I39" s="26">
        <f t="shared" si="16"/>
        <v>743.58835920000024</v>
      </c>
    </row>
    <row r="40" spans="1:12" x14ac:dyDescent="0.3">
      <c r="A40" s="11">
        <f>EDATE($A$2,38)</f>
        <v>47392</v>
      </c>
      <c r="B40" s="12">
        <f t="shared" si="9"/>
        <v>3072.1394880000007</v>
      </c>
      <c r="C40" s="12">
        <f t="shared" si="10"/>
        <v>0</v>
      </c>
      <c r="D40" s="12">
        <f t="shared" si="11"/>
        <v>0</v>
      </c>
      <c r="E40" s="12">
        <f t="shared" si="12"/>
        <v>-614.42789760000016</v>
      </c>
      <c r="F40" s="12">
        <f t="shared" si="13"/>
        <v>0</v>
      </c>
      <c r="G40" s="12">
        <f t="shared" si="14"/>
        <v>3072.1394880000007</v>
      </c>
      <c r="H40" s="23">
        <f t="shared" si="15"/>
        <v>1714.1232312000006</v>
      </c>
      <c r="I40" s="26">
        <f t="shared" si="16"/>
        <v>743.58835920000024</v>
      </c>
    </row>
    <row r="41" spans="1:12" x14ac:dyDescent="0.3">
      <c r="A41" s="11">
        <f>EDATE($A$2,39)</f>
        <v>47423</v>
      </c>
      <c r="B41" s="12">
        <f t="shared" si="9"/>
        <v>3072.1394880000007</v>
      </c>
      <c r="C41" s="12">
        <f t="shared" si="10"/>
        <v>0</v>
      </c>
      <c r="D41" s="12">
        <f t="shared" si="11"/>
        <v>0</v>
      </c>
      <c r="E41" s="12">
        <f t="shared" si="12"/>
        <v>-614.42789760000016</v>
      </c>
      <c r="F41" s="12">
        <f t="shared" si="13"/>
        <v>0</v>
      </c>
      <c r="G41" s="12">
        <f t="shared" si="14"/>
        <v>3072.1394880000007</v>
      </c>
      <c r="H41" s="23">
        <f t="shared" si="15"/>
        <v>1714.1232312000006</v>
      </c>
      <c r="I41" s="26">
        <f t="shared" si="16"/>
        <v>743.58835920000024</v>
      </c>
    </row>
    <row r="42" spans="1:12" x14ac:dyDescent="0.3">
      <c r="A42" s="13">
        <f>EDATE($A$2,40)</f>
        <v>47453</v>
      </c>
      <c r="B42" s="14">
        <f t="shared" si="9"/>
        <v>3072.1394880000007</v>
      </c>
      <c r="C42" s="14">
        <f t="shared" si="10"/>
        <v>4377.7987704000016</v>
      </c>
      <c r="D42" s="14">
        <f t="shared" si="11"/>
        <v>0</v>
      </c>
      <c r="E42" s="14">
        <f t="shared" si="12"/>
        <v>-614.42789760000016</v>
      </c>
      <c r="F42" s="14">
        <f t="shared" si="13"/>
        <v>921.6418464000003</v>
      </c>
      <c r="G42" s="14">
        <f t="shared" si="14"/>
        <v>8371.580104800003</v>
      </c>
      <c r="H42" s="23">
        <f t="shared" si="15"/>
        <v>9242.7850639800017</v>
      </c>
      <c r="I42" s="26">
        <f t="shared" si="16"/>
        <v>2200.9345288200011</v>
      </c>
    </row>
    <row r="43" spans="1:12" x14ac:dyDescent="0.3">
      <c r="A43" s="11">
        <f>EDATE($A$2,41)</f>
        <v>47484</v>
      </c>
      <c r="B43" s="12">
        <f t="shared" si="9"/>
        <v>3072.1394880000007</v>
      </c>
      <c r="C43" s="12">
        <f t="shared" si="10"/>
        <v>0</v>
      </c>
      <c r="D43" s="12">
        <f t="shared" si="11"/>
        <v>0</v>
      </c>
      <c r="E43" s="12">
        <f t="shared" si="12"/>
        <v>-614.42789760000016</v>
      </c>
      <c r="F43" s="12">
        <f t="shared" si="13"/>
        <v>0</v>
      </c>
      <c r="G43" s="12">
        <f t="shared" si="14"/>
        <v>3072.1394880000007</v>
      </c>
      <c r="H43" s="23">
        <f t="shared" si="15"/>
        <v>1714.1232312000006</v>
      </c>
      <c r="I43" s="26">
        <f t="shared" si="16"/>
        <v>743.58835920000024</v>
      </c>
    </row>
    <row r="44" spans="1:12" x14ac:dyDescent="0.3">
      <c r="A44" s="11">
        <f>EDATE($A$2,42)</f>
        <v>47515</v>
      </c>
      <c r="B44" s="12">
        <f t="shared" si="9"/>
        <v>3072.1394880000007</v>
      </c>
      <c r="C44" s="12">
        <f t="shared" si="10"/>
        <v>0</v>
      </c>
      <c r="D44" s="12">
        <f t="shared" si="11"/>
        <v>0</v>
      </c>
      <c r="E44" s="12">
        <f t="shared" si="12"/>
        <v>-614.42789760000016</v>
      </c>
      <c r="F44" s="12">
        <f t="shared" si="13"/>
        <v>0</v>
      </c>
      <c r="G44" s="12">
        <f t="shared" si="14"/>
        <v>3072.1394880000007</v>
      </c>
      <c r="H44" s="23">
        <f t="shared" si="15"/>
        <v>1714.1232312000006</v>
      </c>
      <c r="I44" s="26">
        <f t="shared" si="16"/>
        <v>743.58835920000024</v>
      </c>
    </row>
    <row r="45" spans="1:12" x14ac:dyDescent="0.3">
      <c r="A45" s="11">
        <f>EDATE($A$2,43)</f>
        <v>47543</v>
      </c>
      <c r="B45" s="12">
        <f t="shared" si="9"/>
        <v>3072.1394880000007</v>
      </c>
      <c r="C45" s="12">
        <f t="shared" si="10"/>
        <v>0</v>
      </c>
      <c r="D45" s="12">
        <f t="shared" si="11"/>
        <v>4150</v>
      </c>
      <c r="E45" s="12">
        <f t="shared" si="12"/>
        <v>-614.42789760000016</v>
      </c>
      <c r="F45" s="12">
        <f t="shared" si="13"/>
        <v>0</v>
      </c>
      <c r="G45" s="12">
        <f t="shared" si="14"/>
        <v>7222.1394880000007</v>
      </c>
      <c r="H45" s="23">
        <f t="shared" si="15"/>
        <v>4722.8732312000002</v>
      </c>
      <c r="I45" s="26">
        <f t="shared" si="16"/>
        <v>1884.8383592000002</v>
      </c>
    </row>
    <row r="46" spans="1:12" x14ac:dyDescent="0.3">
      <c r="A46" s="11">
        <f>EDATE($A$2,44)</f>
        <v>47574</v>
      </c>
      <c r="B46" s="12">
        <f t="shared" si="9"/>
        <v>3072.1394880000007</v>
      </c>
      <c r="C46" s="12">
        <f t="shared" si="10"/>
        <v>0</v>
      </c>
      <c r="D46" s="12">
        <f t="shared" si="11"/>
        <v>0</v>
      </c>
      <c r="E46" s="12">
        <f t="shared" si="12"/>
        <v>-614.42789760000016</v>
      </c>
      <c r="F46" s="12">
        <f t="shared" si="13"/>
        <v>0</v>
      </c>
      <c r="G46" s="12">
        <f t="shared" si="14"/>
        <v>3072.1394880000007</v>
      </c>
      <c r="H46" s="23">
        <f t="shared" si="15"/>
        <v>1714.1232312000006</v>
      </c>
      <c r="I46" s="26">
        <f t="shared" si="16"/>
        <v>743.58835920000024</v>
      </c>
    </row>
    <row r="47" spans="1:12" x14ac:dyDescent="0.3">
      <c r="A47" s="11">
        <f>EDATE($A$2,45)</f>
        <v>47604</v>
      </c>
      <c r="B47" s="12">
        <f t="shared" si="9"/>
        <v>3287.1892521600007</v>
      </c>
      <c r="C47" s="12">
        <f t="shared" si="10"/>
        <v>0</v>
      </c>
      <c r="D47" s="12">
        <f t="shared" si="11"/>
        <v>0</v>
      </c>
      <c r="E47" s="12">
        <f t="shared" si="12"/>
        <v>-657.43785043200023</v>
      </c>
      <c r="F47" s="12">
        <f t="shared" si="13"/>
        <v>0</v>
      </c>
      <c r="G47" s="12">
        <f t="shared" si="14"/>
        <v>3287.1892521600007</v>
      </c>
      <c r="H47" s="23">
        <f t="shared" si="15"/>
        <v>1827.0243573840003</v>
      </c>
      <c r="I47" s="26">
        <f t="shared" si="16"/>
        <v>802.72704434400021</v>
      </c>
    </row>
    <row r="48" spans="1:12" x14ac:dyDescent="0.3">
      <c r="A48" s="11">
        <f>EDATE($A$2,46)</f>
        <v>47635</v>
      </c>
      <c r="B48" s="12">
        <f t="shared" si="9"/>
        <v>3287.1892521600007</v>
      </c>
      <c r="C48" s="12">
        <f t="shared" si="10"/>
        <v>4930.7838782400013</v>
      </c>
      <c r="D48" s="12">
        <f t="shared" si="11"/>
        <v>0</v>
      </c>
      <c r="E48" s="12">
        <f t="shared" si="12"/>
        <v>-657.43785043200023</v>
      </c>
      <c r="F48" s="12">
        <f t="shared" si="13"/>
        <v>932.39433460800012</v>
      </c>
      <c r="G48" s="12">
        <f t="shared" si="14"/>
        <v>9150.3674650080011</v>
      </c>
      <c r="H48" s="23">
        <f t="shared" si="15"/>
        <v>9807.4059001308015</v>
      </c>
      <c r="I48" s="26">
        <f t="shared" si="16"/>
        <v>2415.1010528772003</v>
      </c>
    </row>
    <row r="49" spans="1:9" x14ac:dyDescent="0.3">
      <c r="A49" s="11">
        <f>EDATE($A$2,47)</f>
        <v>47665</v>
      </c>
      <c r="B49" s="12">
        <f t="shared" si="9"/>
        <v>3287.1892521600007</v>
      </c>
      <c r="C49" s="12">
        <f t="shared" si="10"/>
        <v>0</v>
      </c>
      <c r="D49" s="12">
        <f t="shared" si="11"/>
        <v>0</v>
      </c>
      <c r="E49" s="12">
        <f t="shared" si="12"/>
        <v>-657.43785043200023</v>
      </c>
      <c r="F49" s="12">
        <f t="shared" si="13"/>
        <v>0</v>
      </c>
      <c r="G49" s="12">
        <f t="shared" si="14"/>
        <v>3287.1892521600007</v>
      </c>
      <c r="H49" s="23">
        <f t="shared" si="15"/>
        <v>1827.0243573840003</v>
      </c>
      <c r="I49" s="26">
        <f t="shared" si="16"/>
        <v>802.72704434400021</v>
      </c>
    </row>
    <row r="50" spans="1:9" x14ac:dyDescent="0.3">
      <c r="A50" s="11">
        <f>EDATE($A$2,48)</f>
        <v>47696</v>
      </c>
      <c r="B50" s="12">
        <f t="shared" si="9"/>
        <v>3287.1892521600007</v>
      </c>
      <c r="C50" s="12">
        <f t="shared" si="10"/>
        <v>0</v>
      </c>
      <c r="D50" s="12">
        <f t="shared" si="11"/>
        <v>0</v>
      </c>
      <c r="E50" s="12">
        <f t="shared" si="12"/>
        <v>-657.43785043200023</v>
      </c>
      <c r="F50" s="12">
        <f t="shared" si="13"/>
        <v>0</v>
      </c>
      <c r="G50" s="12">
        <f t="shared" si="14"/>
        <v>3287.1892521600007</v>
      </c>
      <c r="H50" s="23">
        <f t="shared" si="15"/>
        <v>1827.0243573840003</v>
      </c>
      <c r="I50" s="26">
        <f t="shared" si="16"/>
        <v>802.72704434400021</v>
      </c>
    </row>
    <row r="51" spans="1:9" x14ac:dyDescent="0.3">
      <c r="A51" s="11">
        <f>EDATE($A$2,49)</f>
        <v>47727</v>
      </c>
      <c r="B51" s="12">
        <f t="shared" si="9"/>
        <v>3287.1892521600007</v>
      </c>
      <c r="C51" s="12">
        <f t="shared" si="10"/>
        <v>0</v>
      </c>
      <c r="D51" s="12">
        <f t="shared" si="11"/>
        <v>0</v>
      </c>
      <c r="E51" s="12">
        <f t="shared" si="12"/>
        <v>-657.43785043200023</v>
      </c>
      <c r="F51" s="12">
        <f t="shared" si="13"/>
        <v>0</v>
      </c>
      <c r="G51" s="12">
        <f t="shared" si="14"/>
        <v>3287.1892521600007</v>
      </c>
      <c r="H51" s="23">
        <f t="shared" si="15"/>
        <v>1827.0243573840003</v>
      </c>
      <c r="I51" s="26">
        <f t="shared" si="16"/>
        <v>802.72704434400021</v>
      </c>
    </row>
    <row r="52" spans="1:9" x14ac:dyDescent="0.3">
      <c r="A52" s="11">
        <f>EDATE($A$2,50)</f>
        <v>47757</v>
      </c>
      <c r="B52" s="12">
        <f t="shared" si="9"/>
        <v>3287.1892521600007</v>
      </c>
      <c r="C52" s="12">
        <f t="shared" si="10"/>
        <v>0</v>
      </c>
      <c r="D52" s="12">
        <f t="shared" si="11"/>
        <v>0</v>
      </c>
      <c r="E52" s="12">
        <f t="shared" si="12"/>
        <v>-657.43785043200023</v>
      </c>
      <c r="F52" s="12">
        <f t="shared" si="13"/>
        <v>0</v>
      </c>
      <c r="G52" s="12">
        <f t="shared" si="14"/>
        <v>3287.1892521600007</v>
      </c>
      <c r="H52" s="23">
        <f t="shared" si="15"/>
        <v>1827.0243573840003</v>
      </c>
      <c r="I52" s="26">
        <f t="shared" si="16"/>
        <v>802.72704434400021</v>
      </c>
    </row>
    <row r="53" spans="1:9" x14ac:dyDescent="0.3">
      <c r="A53" s="11">
        <f>EDATE($A$2,51)</f>
        <v>47788</v>
      </c>
      <c r="B53" s="12">
        <f t="shared" si="9"/>
        <v>3287.1892521600007</v>
      </c>
      <c r="C53" s="12">
        <f t="shared" si="10"/>
        <v>0</v>
      </c>
      <c r="D53" s="12">
        <f t="shared" si="11"/>
        <v>0</v>
      </c>
      <c r="E53" s="12">
        <f t="shared" si="12"/>
        <v>-657.43785043200023</v>
      </c>
      <c r="F53" s="12">
        <f t="shared" si="13"/>
        <v>0</v>
      </c>
      <c r="G53" s="12">
        <f t="shared" si="14"/>
        <v>3287.1892521600007</v>
      </c>
      <c r="H53" s="23">
        <f t="shared" si="15"/>
        <v>1827.0243573840003</v>
      </c>
      <c r="I53" s="26">
        <f t="shared" si="16"/>
        <v>802.72704434400021</v>
      </c>
    </row>
    <row r="54" spans="1:9" x14ac:dyDescent="0.3">
      <c r="A54" s="13">
        <f>EDATE($A$2,52)</f>
        <v>47818</v>
      </c>
      <c r="B54" s="14">
        <f t="shared" si="9"/>
        <v>3287.1892521600007</v>
      </c>
      <c r="C54" s="14">
        <f t="shared" si="10"/>
        <v>5078.7073945872016</v>
      </c>
      <c r="D54" s="14">
        <f t="shared" si="11"/>
        <v>0</v>
      </c>
      <c r="E54" s="14">
        <v>0</v>
      </c>
      <c r="F54" s="14">
        <f t="shared" si="13"/>
        <v>986.15677564800035</v>
      </c>
      <c r="G54" s="14">
        <f t="shared" si="14"/>
        <v>9352.0534223952018</v>
      </c>
      <c r="H54" s="23">
        <f t="shared" si="15"/>
        <v>10826.115833828522</v>
      </c>
      <c r="I54" s="26">
        <f t="shared" si="16"/>
        <v>2470.5646911586805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23</vt:i4>
      </vt:variant>
    </vt:vector>
  </HeadingPairs>
  <TitlesOfParts>
    <vt:vector size="25" baseType="lpstr">
      <vt:lpstr>Inputs</vt:lpstr>
      <vt:lpstr>Monthly Schedule</vt:lpstr>
      <vt:lpstr>Base_Annual_Salary</vt:lpstr>
      <vt:lpstr>Bonus_Pct_P1</vt:lpstr>
      <vt:lpstr>Bonus_Pct_P2</vt:lpstr>
      <vt:lpstr>Bonus_Pct_P3</vt:lpstr>
      <vt:lpstr>Bonus_Pct_P4</vt:lpstr>
      <vt:lpstr>Bonus_Pct_P5</vt:lpstr>
      <vt:lpstr>ESPP_Contrib_Pct</vt:lpstr>
      <vt:lpstr>ESPP_Discount</vt:lpstr>
      <vt:lpstr>Living_Expenses_EGP_Monthly_2026</vt:lpstr>
      <vt:lpstr>Living_Expenses_EGP_Monthly_2027</vt:lpstr>
      <vt:lpstr>Living_Expenses_EGP_Monthly_2028</vt:lpstr>
      <vt:lpstr>Living_Expenses_EGP_Monthly_2029</vt:lpstr>
      <vt:lpstr>Living_Expenses_EGP_Monthly_2030</vt:lpstr>
      <vt:lpstr>QuarterKey_Range</vt:lpstr>
      <vt:lpstr>QuarterMult_Range</vt:lpstr>
      <vt:lpstr>Raise_Pct_May2027</vt:lpstr>
      <vt:lpstr>Raise_Pct_May2028</vt:lpstr>
      <vt:lpstr>Raise_Pct_May2029</vt:lpstr>
      <vt:lpstr>Raise_Pct_May2030</vt:lpstr>
      <vt:lpstr>RSU_Grant_Date</vt:lpstr>
      <vt:lpstr>RSU_Grant_Value</vt:lpstr>
      <vt:lpstr>Tax_Pct</vt:lpstr>
      <vt:lpstr>USD_to_EGP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Fahmy, Omar</dc:creator>
  <cp:keywords/>
  <dc:description/>
  <cp:lastModifiedBy>Fahmy, Omar</cp:lastModifiedBy>
  <cp:revision/>
  <dcterms:created xsi:type="dcterms:W3CDTF">2026-05-19T09:12:59Z</dcterms:created>
  <dcterms:modified xsi:type="dcterms:W3CDTF">2026-08-31T14:44:48Z</dcterms:modified>
  <cp:category/>
  <cp:contentStatus/>
</cp:coreProperties>
</file>