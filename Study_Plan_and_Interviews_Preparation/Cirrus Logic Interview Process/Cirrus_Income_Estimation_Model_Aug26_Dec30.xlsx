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Cirrus Logic Interview Process\"/>
    </mc:Choice>
  </mc:AlternateContent>
  <xr:revisionPtr revIDLastSave="0" documentId="13_ncr:1_{629C1D50-7801-419B-AE25-14D4572322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s" sheetId="1" r:id="rId1"/>
    <sheet name="Monthly Schedule" sheetId="2" r:id="rId2"/>
  </sheets>
  <externalReferences>
    <externalReference r:id="rId3"/>
  </externalReferences>
  <definedNames>
    <definedName name="Base_Annual_Salary_GBP">Inputs!$B$2</definedName>
    <definedName name="Bonus_Pct_Aug2026_to_Sep2026">Inputs!$B$61</definedName>
    <definedName name="Bonus_Pct_Oct2026_to_Sep2027">Inputs!$B$62</definedName>
    <definedName name="Bonus_Pct_Oct2027_to_Sep2028">Inputs!$B$63</definedName>
    <definedName name="Bonus_Pct_Oct2028_to_Sep2029">Inputs!$B$64</definedName>
    <definedName name="Bonus_Pct_Oct2029_onwards">Inputs!$B$65</definedName>
    <definedName name="FX_USD_per_GBP">Inputs!$B$13</definedName>
    <definedName name="Include_Pension_in_Cashflow">Inputs!$B$16</definedName>
    <definedName name="Living_Expenses_EGP_Monthly_2026">[1]Inputs!$B$24</definedName>
    <definedName name="Living_Expenses_EGP_Monthly_2027">[1]Inputs!$B$25</definedName>
    <definedName name="Living_Expenses_EGP_Monthly_2028">[1]Inputs!$B$26</definedName>
    <definedName name="Living_Expenses_EGP_Monthly_2029">[1]Inputs!$B$27</definedName>
    <definedName name="Living_Expenses_EGP_Monthly_2030">[1]Inputs!$B$28</definedName>
    <definedName name="Living_Expenses_GBP_Monthly_2026">Inputs!$B$50</definedName>
    <definedName name="Living_Expenses_GBP_Monthly_2027">Inputs!$B$51</definedName>
    <definedName name="Living_Expenses_GBP_Monthly_2028">Inputs!$B$52</definedName>
    <definedName name="Living_Expenses_GBP_Monthly_2029">Inputs!$B$53</definedName>
    <definedName name="Living_Expenses_GBP_Monthly_2030">Inputs!$B$54</definedName>
    <definedName name="New_Hire_Stock_Grant_USD">Inputs!$B$12</definedName>
    <definedName name="Raise_Pct_Apr2027">Inputs!$B$4</definedName>
    <definedName name="Raise_Pct_Apr2028">Inputs!$B$5</definedName>
    <definedName name="Raise_Pct_Apr2029">Inputs!$B$6</definedName>
    <definedName name="Raise_Pct_Apr2030">Inputs!$B$7</definedName>
    <definedName name="Raise_Pct_Nov2027">Inputs!$B$25</definedName>
    <definedName name="Raise_Pct_Nov2028">Inputs!$B$26</definedName>
    <definedName name="Raise_Pct_Nov2029">Inputs!$B$27</definedName>
    <definedName name="Raise_Pct_Nov2030">Inputs!$B$28</definedName>
    <definedName name="RSU_Grant_Nov2027_USD">Inputs!$B$31</definedName>
    <definedName name="RSU_Grant_Nov2028_USD">Inputs!$B$32</definedName>
    <definedName name="RSU_Grant_Nov2029_USD">Inputs!$B$33</definedName>
    <definedName name="RSU_Price_Change_Pct">Inputs!$B$15</definedName>
    <definedName name="Taxes_Pct">Inputs!#REF!</definedName>
    <definedName name="UK_Additional_Rate">Inputs!$B$41</definedName>
    <definedName name="UK_Basic_Band_Upper_Annual">Inputs!$B$37</definedName>
    <definedName name="UK_Basic_Rate">Inputs!$B$39</definedName>
    <definedName name="UK_Higher_Band_Upper_Annual">Inputs!$B$38</definedName>
    <definedName name="UK_Higher_Rate">Inputs!$B$40</definedName>
    <definedName name="UK_NI_Main_Rate">Inputs!$B$45</definedName>
    <definedName name="UK_NI_PT_Monthly">Inputs!$B$43</definedName>
    <definedName name="UK_NI_UEL_Monthly">Inputs!$B$44</definedName>
    <definedName name="UK_NI_Upper_Rate">Inputs!$B$46</definedName>
    <definedName name="UK_Personal_Allowance_Annual">Inputs!$B$36</definedName>
    <definedName name="UK_TaxYear_Start_Month">Inputs!$B$42</definedName>
    <definedName name="USD_to_EGP">[1]Inputs!$B$29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2" l="1"/>
  <c r="M24" i="2"/>
  <c r="M23" i="2"/>
  <c r="F53" i="1" l="1"/>
  <c r="B54" i="1"/>
  <c r="B53" i="1"/>
  <c r="B52" i="1"/>
  <c r="B51" i="1"/>
  <c r="F67" i="1"/>
  <c r="D15" i="2" l="1"/>
  <c r="B50" i="1"/>
  <c r="L54" i="2"/>
  <c r="G54" i="2"/>
  <c r="F54" i="2"/>
  <c r="E54" i="2"/>
  <c r="D54" i="2"/>
  <c r="C54" i="2"/>
  <c r="B54" i="2"/>
  <c r="L53" i="2"/>
  <c r="G53" i="2"/>
  <c r="F53" i="2"/>
  <c r="E53" i="2"/>
  <c r="D53" i="2"/>
  <c r="B53" i="2"/>
  <c r="L52" i="2"/>
  <c r="G52" i="2"/>
  <c r="F52" i="2"/>
  <c r="E52" i="2"/>
  <c r="D52" i="2"/>
  <c r="C52" i="2"/>
  <c r="B52" i="2"/>
  <c r="L51" i="2"/>
  <c r="G51" i="2"/>
  <c r="F51" i="2"/>
  <c r="E51" i="2"/>
  <c r="D51" i="2"/>
  <c r="C51" i="2"/>
  <c r="B51" i="2"/>
  <c r="L50" i="2"/>
  <c r="G50" i="2"/>
  <c r="F50" i="2"/>
  <c r="E50" i="2"/>
  <c r="D50" i="2"/>
  <c r="C50" i="2"/>
  <c r="B50" i="2"/>
  <c r="L49" i="2"/>
  <c r="G49" i="2"/>
  <c r="F49" i="2"/>
  <c r="E49" i="2"/>
  <c r="D49" i="2"/>
  <c r="C49" i="2"/>
  <c r="B49" i="2"/>
  <c r="L48" i="2"/>
  <c r="G48" i="2"/>
  <c r="F48" i="2"/>
  <c r="E48" i="2"/>
  <c r="D48" i="2"/>
  <c r="C48" i="2"/>
  <c r="B48" i="2"/>
  <c r="L47" i="2"/>
  <c r="G47" i="2"/>
  <c r="F47" i="2"/>
  <c r="E47" i="2"/>
  <c r="D47" i="2"/>
  <c r="B47" i="2"/>
  <c r="L46" i="2"/>
  <c r="G46" i="2"/>
  <c r="F46" i="2"/>
  <c r="E46" i="2"/>
  <c r="D46" i="2"/>
  <c r="C46" i="2"/>
  <c r="B46" i="2"/>
  <c r="L45" i="2"/>
  <c r="G45" i="2"/>
  <c r="F45" i="2"/>
  <c r="E45" i="2"/>
  <c r="D45" i="2"/>
  <c r="C45" i="2"/>
  <c r="B45" i="2"/>
  <c r="L44" i="2"/>
  <c r="G44" i="2"/>
  <c r="F44" i="2"/>
  <c r="E44" i="2"/>
  <c r="D44" i="2"/>
  <c r="C44" i="2"/>
  <c r="B44" i="2"/>
  <c r="L43" i="2"/>
  <c r="G43" i="2"/>
  <c r="F43" i="2"/>
  <c r="E43" i="2"/>
  <c r="D43" i="2"/>
  <c r="C43" i="2"/>
  <c r="B43" i="2"/>
  <c r="L42" i="2"/>
  <c r="G42" i="2"/>
  <c r="F42" i="2"/>
  <c r="E42" i="2"/>
  <c r="D42" i="2"/>
  <c r="C42" i="2"/>
  <c r="B42" i="2"/>
  <c r="L41" i="2"/>
  <c r="G41" i="2"/>
  <c r="F41" i="2"/>
  <c r="E41" i="2"/>
  <c r="D41" i="2"/>
  <c r="B41" i="2"/>
  <c r="L40" i="2"/>
  <c r="G40" i="2"/>
  <c r="F40" i="2"/>
  <c r="E40" i="2"/>
  <c r="D40" i="2"/>
  <c r="C40" i="2"/>
  <c r="B40" i="2"/>
  <c r="L39" i="2"/>
  <c r="G39" i="2"/>
  <c r="F39" i="2"/>
  <c r="E39" i="2"/>
  <c r="D39" i="2"/>
  <c r="C39" i="2"/>
  <c r="B39" i="2"/>
  <c r="L38" i="2"/>
  <c r="G38" i="2"/>
  <c r="F38" i="2"/>
  <c r="E38" i="2"/>
  <c r="D38" i="2"/>
  <c r="C38" i="2"/>
  <c r="B38" i="2"/>
  <c r="L37" i="2"/>
  <c r="G37" i="2"/>
  <c r="F37" i="2"/>
  <c r="E37" i="2"/>
  <c r="D37" i="2"/>
  <c r="C37" i="2"/>
  <c r="B37" i="2"/>
  <c r="L36" i="2"/>
  <c r="G36" i="2"/>
  <c r="F36" i="2"/>
  <c r="E36" i="2"/>
  <c r="D36" i="2"/>
  <c r="C36" i="2"/>
  <c r="B36" i="2"/>
  <c r="L35" i="2"/>
  <c r="G35" i="2"/>
  <c r="F35" i="2"/>
  <c r="E35" i="2"/>
  <c r="D35" i="2"/>
  <c r="B35" i="2"/>
  <c r="L34" i="2"/>
  <c r="G34" i="2"/>
  <c r="F34" i="2"/>
  <c r="E34" i="2"/>
  <c r="D34" i="2"/>
  <c r="C34" i="2"/>
  <c r="B34" i="2"/>
  <c r="L33" i="2"/>
  <c r="G33" i="2"/>
  <c r="F33" i="2"/>
  <c r="E33" i="2"/>
  <c r="D33" i="2"/>
  <c r="C33" i="2"/>
  <c r="B33" i="2"/>
  <c r="L32" i="2"/>
  <c r="G32" i="2"/>
  <c r="F32" i="2"/>
  <c r="E32" i="2"/>
  <c r="D32" i="2"/>
  <c r="C32" i="2"/>
  <c r="B32" i="2"/>
  <c r="L31" i="2"/>
  <c r="G31" i="2"/>
  <c r="F31" i="2"/>
  <c r="E31" i="2"/>
  <c r="D31" i="2"/>
  <c r="C31" i="2"/>
  <c r="B31" i="2"/>
  <c r="L30" i="2"/>
  <c r="G30" i="2"/>
  <c r="F30" i="2"/>
  <c r="E30" i="2"/>
  <c r="D30" i="2"/>
  <c r="C30" i="2"/>
  <c r="B30" i="2"/>
  <c r="L29" i="2"/>
  <c r="G29" i="2"/>
  <c r="F29" i="2"/>
  <c r="E29" i="2"/>
  <c r="D29" i="2"/>
  <c r="B29" i="2"/>
  <c r="L28" i="2"/>
  <c r="G28" i="2"/>
  <c r="F28" i="2"/>
  <c r="E28" i="2"/>
  <c r="D28" i="2"/>
  <c r="C28" i="2"/>
  <c r="B28" i="2"/>
  <c r="L27" i="2"/>
  <c r="G27" i="2"/>
  <c r="F27" i="2"/>
  <c r="E27" i="2"/>
  <c r="D27" i="2"/>
  <c r="C27" i="2"/>
  <c r="B27" i="2"/>
  <c r="L26" i="2"/>
  <c r="G26" i="2"/>
  <c r="F26" i="2"/>
  <c r="E26" i="2"/>
  <c r="D26" i="2"/>
  <c r="C26" i="2"/>
  <c r="B26" i="2"/>
  <c r="L25" i="2"/>
  <c r="G25" i="2"/>
  <c r="F25" i="2"/>
  <c r="E25" i="2"/>
  <c r="D25" i="2"/>
  <c r="C25" i="2"/>
  <c r="B25" i="2"/>
  <c r="L24" i="2"/>
  <c r="G24" i="2"/>
  <c r="F24" i="2"/>
  <c r="E24" i="2"/>
  <c r="D24" i="2"/>
  <c r="C24" i="2"/>
  <c r="B24" i="2"/>
  <c r="L23" i="2"/>
  <c r="G23" i="2"/>
  <c r="F23" i="2"/>
  <c r="E23" i="2"/>
  <c r="D23" i="2"/>
  <c r="B23" i="2"/>
  <c r="L22" i="2"/>
  <c r="G22" i="2"/>
  <c r="F22" i="2"/>
  <c r="E22" i="2"/>
  <c r="D22" i="2"/>
  <c r="C22" i="2"/>
  <c r="B22" i="2"/>
  <c r="L21" i="2"/>
  <c r="G21" i="2"/>
  <c r="F21" i="2"/>
  <c r="E21" i="2"/>
  <c r="D21" i="2"/>
  <c r="C21" i="2"/>
  <c r="B21" i="2"/>
  <c r="L20" i="2"/>
  <c r="G20" i="2"/>
  <c r="F20" i="2"/>
  <c r="E20" i="2"/>
  <c r="D20" i="2"/>
  <c r="C20" i="2"/>
  <c r="B20" i="2"/>
  <c r="L19" i="2"/>
  <c r="G19" i="2"/>
  <c r="F19" i="2"/>
  <c r="E19" i="2"/>
  <c r="D19" i="2"/>
  <c r="C19" i="2"/>
  <c r="B19" i="2"/>
  <c r="L18" i="2"/>
  <c r="G18" i="2"/>
  <c r="F18" i="2"/>
  <c r="E18" i="2"/>
  <c r="D18" i="2"/>
  <c r="C18" i="2"/>
  <c r="B18" i="2"/>
  <c r="L17" i="2"/>
  <c r="G17" i="2"/>
  <c r="F17" i="2"/>
  <c r="E17" i="2"/>
  <c r="D17" i="2"/>
  <c r="B17" i="2"/>
  <c r="L16" i="2"/>
  <c r="G16" i="2"/>
  <c r="F16" i="2"/>
  <c r="E16" i="2"/>
  <c r="D16" i="2"/>
  <c r="C16" i="2"/>
  <c r="B16" i="2"/>
  <c r="L15" i="2"/>
  <c r="G15" i="2"/>
  <c r="F15" i="2"/>
  <c r="E15" i="2"/>
  <c r="C15" i="2"/>
  <c r="B15" i="2"/>
  <c r="L14" i="2"/>
  <c r="G14" i="2"/>
  <c r="F14" i="2"/>
  <c r="E14" i="2"/>
  <c r="D14" i="2"/>
  <c r="C14" i="2"/>
  <c r="B14" i="2"/>
  <c r="L13" i="2"/>
  <c r="G13" i="2"/>
  <c r="F13" i="2"/>
  <c r="E13" i="2"/>
  <c r="D13" i="2"/>
  <c r="C13" i="2"/>
  <c r="B13" i="2"/>
  <c r="L12" i="2"/>
  <c r="G12" i="2"/>
  <c r="F12" i="2"/>
  <c r="E12" i="2"/>
  <c r="D12" i="2"/>
  <c r="C12" i="2"/>
  <c r="B12" i="2"/>
  <c r="L11" i="2"/>
  <c r="G11" i="2"/>
  <c r="F11" i="2"/>
  <c r="E11" i="2"/>
  <c r="D11" i="2"/>
  <c r="B11" i="2"/>
  <c r="L10" i="2"/>
  <c r="G10" i="2"/>
  <c r="F10" i="2"/>
  <c r="E10" i="2"/>
  <c r="D10" i="2"/>
  <c r="C10" i="2"/>
  <c r="B10" i="2"/>
  <c r="L9" i="2"/>
  <c r="G9" i="2"/>
  <c r="F9" i="2"/>
  <c r="E9" i="2"/>
  <c r="D9" i="2"/>
  <c r="C9" i="2"/>
  <c r="B9" i="2"/>
  <c r="L8" i="2"/>
  <c r="G8" i="2"/>
  <c r="F8" i="2"/>
  <c r="E8" i="2"/>
  <c r="D8" i="2"/>
  <c r="C8" i="2"/>
  <c r="B8" i="2"/>
  <c r="L7" i="2"/>
  <c r="G7" i="2"/>
  <c r="F7" i="2"/>
  <c r="E7" i="2"/>
  <c r="D7" i="2"/>
  <c r="C7" i="2"/>
  <c r="B7" i="2"/>
  <c r="L6" i="2"/>
  <c r="G6" i="2"/>
  <c r="F6" i="2"/>
  <c r="E6" i="2"/>
  <c r="D6" i="2"/>
  <c r="C6" i="2"/>
  <c r="B6" i="2"/>
  <c r="L5" i="2"/>
  <c r="G5" i="2"/>
  <c r="F5" i="2"/>
  <c r="E5" i="2"/>
  <c r="D5" i="2"/>
  <c r="B5" i="2"/>
  <c r="L4" i="2"/>
  <c r="G4" i="2"/>
  <c r="F4" i="2"/>
  <c r="E4" i="2"/>
  <c r="D4" i="2"/>
  <c r="C4" i="2"/>
  <c r="B4" i="2"/>
  <c r="L3" i="2"/>
  <c r="G3" i="2"/>
  <c r="F3" i="2"/>
  <c r="E3" i="2"/>
  <c r="D3" i="2"/>
  <c r="C3" i="2"/>
  <c r="B3" i="2"/>
  <c r="L2" i="2"/>
  <c r="G2" i="2"/>
  <c r="F2" i="2"/>
  <c r="E2" i="2"/>
  <c r="D2" i="2"/>
  <c r="C2" i="2"/>
  <c r="B2" i="2"/>
  <c r="H7" i="2" l="1"/>
  <c r="K7" i="2" s="1"/>
  <c r="H9" i="2"/>
  <c r="H2" i="2"/>
  <c r="J2" i="2" s="1"/>
  <c r="H4" i="2"/>
  <c r="H37" i="2"/>
  <c r="K37" i="2" s="1"/>
  <c r="H39" i="2"/>
  <c r="K39" i="2" s="1"/>
  <c r="H24" i="2"/>
  <c r="K24" i="2" s="1"/>
  <c r="H26" i="2"/>
  <c r="K26" i="2" s="1"/>
  <c r="H28" i="2"/>
  <c r="H48" i="2"/>
  <c r="K48" i="2" s="1"/>
  <c r="H50" i="2"/>
  <c r="K50" i="2" s="1"/>
  <c r="H52" i="2"/>
  <c r="K52" i="2" s="1"/>
  <c r="H3" i="2"/>
  <c r="K3" i="2" s="1"/>
  <c r="H49" i="2"/>
  <c r="K49" i="2" s="1"/>
  <c r="H6" i="2"/>
  <c r="K6" i="2" s="1"/>
  <c r="H8" i="2"/>
  <c r="H10" i="2"/>
  <c r="K10" i="2" s="1"/>
  <c r="H43" i="2"/>
  <c r="K43" i="2" s="1"/>
  <c r="H45" i="2"/>
  <c r="K45" i="2" s="1"/>
  <c r="H19" i="2"/>
  <c r="H21" i="2"/>
  <c r="K21" i="2" s="1"/>
  <c r="H13" i="2"/>
  <c r="K13" i="2" s="1"/>
  <c r="H15" i="2"/>
  <c r="H54" i="2"/>
  <c r="K54" i="2" s="1"/>
  <c r="H38" i="2"/>
  <c r="K38" i="2" s="1"/>
  <c r="H40" i="2"/>
  <c r="K40" i="2" s="1"/>
  <c r="H36" i="2"/>
  <c r="K36" i="2" s="1"/>
  <c r="H30" i="2"/>
  <c r="K30" i="2" s="1"/>
  <c r="H32" i="2"/>
  <c r="K32" i="2" s="1"/>
  <c r="H34" i="2"/>
  <c r="J34" i="2" s="1"/>
  <c r="I34" i="2" s="1"/>
  <c r="H51" i="2"/>
  <c r="K51" i="2" s="1"/>
  <c r="H31" i="2"/>
  <c r="K31" i="2" s="1"/>
  <c r="H33" i="2"/>
  <c r="K33" i="2" s="1"/>
  <c r="H25" i="2"/>
  <c r="H27" i="2"/>
  <c r="K27" i="2" s="1"/>
  <c r="H42" i="2"/>
  <c r="K42" i="2" s="1"/>
  <c r="H44" i="2"/>
  <c r="K44" i="2" s="1"/>
  <c r="H46" i="2"/>
  <c r="K46" i="2" s="1"/>
  <c r="H22" i="2"/>
  <c r="K22" i="2" s="1"/>
  <c r="H18" i="2"/>
  <c r="K18" i="2" s="1"/>
  <c r="H20" i="2"/>
  <c r="K20" i="2" s="1"/>
  <c r="H12" i="2"/>
  <c r="K12" i="2" s="1"/>
  <c r="H14" i="2"/>
  <c r="K14" i="2" s="1"/>
  <c r="H16" i="2"/>
  <c r="K16" i="2" s="1"/>
  <c r="K2" i="2"/>
  <c r="K4" i="2"/>
  <c r="C5" i="2"/>
  <c r="H5" i="2" s="1"/>
  <c r="K8" i="2"/>
  <c r="K9" i="2"/>
  <c r="C11" i="2"/>
  <c r="H11" i="2" s="1"/>
  <c r="K15" i="2"/>
  <c r="C17" i="2"/>
  <c r="H17" i="2" s="1"/>
  <c r="K19" i="2"/>
  <c r="C23" i="2"/>
  <c r="H23" i="2" s="1"/>
  <c r="K25" i="2"/>
  <c r="K28" i="2"/>
  <c r="C29" i="2"/>
  <c r="H29" i="2" s="1"/>
  <c r="K34" i="2"/>
  <c r="C35" i="2"/>
  <c r="H35" i="2" s="1"/>
  <c r="C41" i="2"/>
  <c r="H41" i="2" s="1"/>
  <c r="C47" i="2"/>
  <c r="H47" i="2" s="1"/>
  <c r="C53" i="2"/>
  <c r="H53" i="2" s="1"/>
  <c r="J46" i="2" l="1"/>
  <c r="I46" i="2" s="1"/>
  <c r="I2" i="2"/>
  <c r="J10" i="2"/>
  <c r="I10" i="2" s="1"/>
  <c r="J22" i="2"/>
  <c r="I22" i="2" s="1"/>
  <c r="K53" i="2"/>
  <c r="K47" i="2"/>
  <c r="J47" i="2"/>
  <c r="K41" i="2"/>
  <c r="K35" i="2"/>
  <c r="J35" i="2"/>
  <c r="K29" i="2"/>
  <c r="K23" i="2"/>
  <c r="K17" i="2"/>
  <c r="K11" i="2"/>
  <c r="K5" i="2"/>
  <c r="J3" i="2"/>
  <c r="J11" i="2" l="1"/>
  <c r="I11" i="2" s="1"/>
  <c r="J23" i="2"/>
  <c r="I23" i="2" s="1"/>
  <c r="I3" i="2"/>
  <c r="J4" i="2"/>
  <c r="I35" i="2"/>
  <c r="J36" i="2"/>
  <c r="I47" i="2"/>
  <c r="J48" i="2"/>
  <c r="J12" i="2" l="1"/>
  <c r="I12" i="2" s="1"/>
  <c r="J24" i="2"/>
  <c r="I24" i="2" s="1"/>
  <c r="I48" i="2"/>
  <c r="J49" i="2"/>
  <c r="I36" i="2"/>
  <c r="J37" i="2"/>
  <c r="I4" i="2"/>
  <c r="J5" i="2"/>
  <c r="J13" i="2" l="1"/>
  <c r="I13" i="2" s="1"/>
  <c r="J25" i="2"/>
  <c r="I25" i="2" s="1"/>
  <c r="I5" i="2"/>
  <c r="J6" i="2"/>
  <c r="I37" i="2"/>
  <c r="J38" i="2"/>
  <c r="I49" i="2"/>
  <c r="J50" i="2"/>
  <c r="J14" i="2" l="1"/>
  <c r="I14" i="2" s="1"/>
  <c r="J26" i="2"/>
  <c r="I26" i="2" s="1"/>
  <c r="I50" i="2"/>
  <c r="J51" i="2"/>
  <c r="I38" i="2"/>
  <c r="J39" i="2"/>
  <c r="J15" i="2"/>
  <c r="I6" i="2"/>
  <c r="J7" i="2"/>
  <c r="N6" i="2"/>
  <c r="N12" i="2" s="1"/>
  <c r="J27" i="2" l="1"/>
  <c r="I27" i="2" s="1"/>
  <c r="I7" i="2"/>
  <c r="J8" i="2"/>
  <c r="I15" i="2"/>
  <c r="J16" i="2"/>
  <c r="I39" i="2"/>
  <c r="J40" i="2"/>
  <c r="I51" i="2"/>
  <c r="J52" i="2"/>
  <c r="J28" i="2" l="1"/>
  <c r="I28" i="2" s="1"/>
  <c r="I52" i="2"/>
  <c r="J53" i="2"/>
  <c r="I40" i="2"/>
  <c r="J41" i="2"/>
  <c r="I16" i="2"/>
  <c r="J17" i="2"/>
  <c r="I8" i="2"/>
  <c r="J9" i="2"/>
  <c r="I9" i="2" s="1"/>
  <c r="J29" i="2" l="1"/>
  <c r="I29" i="2" s="1"/>
  <c r="I17" i="2"/>
  <c r="J18" i="2"/>
  <c r="I41" i="2"/>
  <c r="J42" i="2"/>
  <c r="I53" i="2"/>
  <c r="J54" i="2"/>
  <c r="I54" i="2" s="1"/>
  <c r="J30" i="2" l="1"/>
  <c r="I30" i="2" s="1"/>
  <c r="I42" i="2"/>
  <c r="J43" i="2"/>
  <c r="I18" i="2"/>
  <c r="N7" i="2" s="1"/>
  <c r="N13" i="2" s="1"/>
  <c r="J19" i="2"/>
  <c r="J31" i="2" l="1"/>
  <c r="I31" i="2" s="1"/>
  <c r="I19" i="2"/>
  <c r="J20" i="2"/>
  <c r="I43" i="2"/>
  <c r="J44" i="2"/>
  <c r="J32" i="2" l="1"/>
  <c r="I32" i="2" s="1"/>
  <c r="I44" i="2"/>
  <c r="J45" i="2"/>
  <c r="I45" i="2" s="1"/>
  <c r="I20" i="2"/>
  <c r="J21" i="2"/>
  <c r="I21" i="2" s="1"/>
  <c r="N8" i="2" s="1"/>
  <c r="N14" i="2" s="1"/>
  <c r="J33" i="2" l="1"/>
  <c r="I33" i="2" s="1"/>
  <c r="N9" i="2" s="1"/>
  <c r="N15" i="2" s="1"/>
  <c r="N10" i="2"/>
  <c r="N16" i="2" s="1"/>
  <c r="N18" i="2" l="1"/>
</calcChain>
</file>

<file path=xl/sharedStrings.xml><?xml version="1.0" encoding="utf-8"?>
<sst xmlns="http://schemas.openxmlformats.org/spreadsheetml/2006/main" count="147" uniqueCount="146">
  <si>
    <t>Key</t>
  </si>
  <si>
    <t>Value</t>
  </si>
  <si>
    <t>Notes</t>
  </si>
  <si>
    <t>Base_Annual_Salary_GBP</t>
  </si>
  <si>
    <t>Base salary (annual) in GBP</t>
  </si>
  <si>
    <t>Raise_Pct_Apr2027</t>
  </si>
  <si>
    <t>Annual salary review (March), effective April 2027.</t>
  </si>
  <si>
    <t>Raise_Pct_Apr2028</t>
  </si>
  <si>
    <t>Annual salary review (March), effective April 2028.</t>
  </si>
  <si>
    <t>Raise_Pct_Apr2029</t>
  </si>
  <si>
    <t>Annual salary review (March), effective April 2029.</t>
  </si>
  <si>
    <t>Raise_Pct_Apr2030</t>
  </si>
  <si>
    <t>Annual salary review (March), effective April 2030.</t>
  </si>
  <si>
    <t>Hiring_Bonus_GBP</t>
  </si>
  <si>
    <t>One-off hiring bonus</t>
  </si>
  <si>
    <t>Hiring_Bonus_Pay_Month_Offset</t>
  </si>
  <si>
    <t>Months after Aug 2026 (0=Aug 2026)</t>
  </si>
  <si>
    <t>Relocation_Allowance_GBP</t>
  </si>
  <si>
    <t>Relocation allowance</t>
  </si>
  <si>
    <t>Relocation_Pay_Month_Offset</t>
  </si>
  <si>
    <t>New_Hire_Stock_Grant_USD</t>
  </si>
  <si>
    <t>New-hire RSU grant face value (USD)</t>
  </si>
  <si>
    <t>FX_USD_per_GBP</t>
  </si>
  <si>
    <t>FX: RSU_GBP = USD / FX</t>
  </si>
  <si>
    <t>RSU_Assumed_Price_Change_Pct_per_year</t>
  </si>
  <si>
    <t>Optional price change assumption for RSU (default 0%)</t>
  </si>
  <si>
    <t>Include_Pension_in_Cashflow</t>
  </si>
  <si>
    <t>0=exclude pension from cashflow, 1=include employer value</t>
  </si>
  <si>
    <t>Employee_Pension_Contrib_Pct</t>
  </si>
  <si>
    <t>Employee pension %</t>
  </si>
  <si>
    <t>Employer_Match_Cap_Pct</t>
  </si>
  <si>
    <t>Employer match cap</t>
  </si>
  <si>
    <t>Employer_Match_Plus_One_Pct</t>
  </si>
  <si>
    <t>Employer match +1%</t>
  </si>
  <si>
    <t>NI_Passback_Pct_of_Employee_Contrib</t>
  </si>
  <si>
    <t>NI passback fraction of employee contrib</t>
  </si>
  <si>
    <t>Raises – Off-cycle (effective October)</t>
  </si>
  <si>
    <t>Raise_Pct_Nov2027</t>
  </si>
  <si>
    <t>Off-cycle review (Oct) effective Oct 2027 (optional).</t>
  </si>
  <si>
    <t>Raise_Pct_Nov2028</t>
  </si>
  <si>
    <t>Off-cycle review (Oct) effective Oct 2028 (optional).</t>
  </si>
  <si>
    <t>Raise_Pct_Nov2029</t>
  </si>
  <si>
    <t>Off-cycle review (Oct) effective Oct 2029 (optional).</t>
  </si>
  <si>
    <t>Raise_Pct_Nov2030</t>
  </si>
  <si>
    <t>Off-cycle review (Oct) effective Oct 2030 (optional).</t>
  </si>
  <si>
    <t>RSU Refresh Grants (Optional, USD)</t>
  </si>
  <si>
    <t>RSU_Grant_Nov2027_USD</t>
  </si>
  <si>
    <t>Grant in Nov 2027 (no guarantee). First vest Nov 2028.</t>
  </si>
  <si>
    <t>RSU_Grant_Nov2028_USD</t>
  </si>
  <si>
    <t>Grant in Nov 2028 (no guarantee). First vest Nov 2029.</t>
  </si>
  <si>
    <t>RSU_Grant_Nov2029_USD</t>
  </si>
  <si>
    <t>Grant in Nov 2029 (no guarantee). First vest Nov 2030.</t>
  </si>
  <si>
    <t>UK Tax Settings (England/Wales/NI, 2026/27)</t>
  </si>
  <si>
    <t>UK_Personal_Allowance_Annual</t>
  </si>
  <si>
    <t>Personal Allowance (annual)</t>
  </si>
  <si>
    <t>UK_Basic_Band_Upper_Annual</t>
  </si>
  <si>
    <t>Upper limit of Basic rate band (annual, incl allowance)</t>
  </si>
  <si>
    <t>UK_Higher_Band_Upper_Annual</t>
  </si>
  <si>
    <t>Upper limit of Higher rate band (annual)</t>
  </si>
  <si>
    <t>UK_Basic_Rate</t>
  </si>
  <si>
    <t>Income Tax basic rate</t>
  </si>
  <si>
    <t>UK_Higher_Rate</t>
  </si>
  <si>
    <t>Income Tax higher rate</t>
  </si>
  <si>
    <t>UK_Additional_Rate</t>
  </si>
  <si>
    <t>Income Tax additional rate</t>
  </si>
  <si>
    <t>UK_TaxYear_Start_Month</t>
  </si>
  <si>
    <t>Tax year starts in April</t>
  </si>
  <si>
    <t>UK_NI_PT_Monthly</t>
  </si>
  <si>
    <t>NI Primary Threshold (per month)</t>
  </si>
  <si>
    <t>UK_NI_UEL_Monthly</t>
  </si>
  <si>
    <t>NI Upper Earnings Limit (per month)</t>
  </si>
  <si>
    <t>UK_NI_Main_Rate</t>
  </si>
  <si>
    <t>NI rate between PT and UEL</t>
  </si>
  <si>
    <t>UK_NI_Upper_Rate</t>
  </si>
  <si>
    <t>NI rate above UEL</t>
  </si>
  <si>
    <t>Living_Expenses_GBP_Monthly_2026</t>
  </si>
  <si>
    <t>Living_Expenses_GBP_Monthly_2027</t>
  </si>
  <si>
    <t>Living_Expenses_GBP_Monthly_2028</t>
  </si>
  <si>
    <t>Living_Expenses_GBP_Monthly_2029</t>
  </si>
  <si>
    <t>Living_Expenses_GBP_Monthly_2030</t>
  </si>
  <si>
    <t>RSU_Price_Change_2027</t>
  </si>
  <si>
    <t>Pct change of RSU stock price in 2027 vs 2026 (can be +/-)</t>
  </si>
  <si>
    <t>RSU_Price_Change_2028</t>
  </si>
  <si>
    <t>Pct change of RSU stock price in 2028 vs 2026 (can be +/-)</t>
  </si>
  <si>
    <t>RSU_Price_Change_2029</t>
  </si>
  <si>
    <t>Pct change of RSU stock price in 2029 vs 2026 (can be +/-)</t>
  </si>
  <si>
    <t>Bonus % by period (editable)</t>
  </si>
  <si>
    <t>Used by Monthly Schedule bonus calculation; change these when level/bonus target changes.</t>
  </si>
  <si>
    <t>Bonus_Pct_Aug2026_to_Sep2026</t>
  </si>
  <si>
    <t>Bonus target % for Aug 2026–Sep 2026 (Oct 2026 boundary).</t>
  </si>
  <si>
    <t>Bonus_Pct_Oct2026_to_Sep2027</t>
  </si>
  <si>
    <t>Bonus target % for Oct 2026–Sep 2027.</t>
  </si>
  <si>
    <t>Bonus_Pct_Oct2027_to_Sep2028</t>
  </si>
  <si>
    <t>Bonus target % for Oct 2027–Sep 2028.</t>
  </si>
  <si>
    <t>Bonus_Pct_Oct2028_to_Sep2029</t>
  </si>
  <si>
    <t>Bonus target % for Oct 2028–Sep 2029.</t>
  </si>
  <si>
    <t>Bonus_Pct_Oct2029_onwards</t>
  </si>
  <si>
    <t>Bonus target % for Oct 2029 onward (covers Oct 2029–Dec 2030 in this model).</t>
  </si>
  <si>
    <t>Month</t>
  </si>
  <si>
    <t>Base Salary (GBP)</t>
  </si>
  <si>
    <t>Bonus Paid (GBP)</t>
  </si>
  <si>
    <t>RSU Vest (GBP)</t>
  </si>
  <si>
    <t>Hiring Bonus (GBP)</t>
  </si>
  <si>
    <t>Relocation (GBP)</t>
  </si>
  <si>
    <t>Pension Employer (GBP)</t>
  </si>
  <si>
    <t>Total Gross Monthly Income</t>
  </si>
  <si>
    <t>Total Net Monthly Income</t>
  </si>
  <si>
    <t>Income Tax (PAYE, GBP)</t>
  </si>
  <si>
    <t>Employee NI (GBP)</t>
  </si>
  <si>
    <t>Bonus Target Pct (current)</t>
  </si>
  <si>
    <t>Total Net in 2026</t>
  </si>
  <si>
    <t>Total Net in 2027</t>
  </si>
  <si>
    <t>Total Net in 2028</t>
  </si>
  <si>
    <t>Total Net in 2029</t>
  </si>
  <si>
    <t>Total Net in 2030</t>
  </si>
  <si>
    <t>Take-Home Estimate in 2026</t>
  </si>
  <si>
    <t>Take-Home Estimate in 2027</t>
  </si>
  <si>
    <t>Take-Home Estimate in 2028</t>
  </si>
  <si>
    <t>Take-Home Estimate in 2029</t>
  </si>
  <si>
    <t>Take-Home Estimate in 2030</t>
  </si>
  <si>
    <t>Total Take-Home Estimate in All Years</t>
  </si>
  <si>
    <t>Assumed living expenses</t>
  </si>
  <si>
    <t>Element</t>
  </si>
  <si>
    <t>Price</t>
  </si>
  <si>
    <t>Assumptions</t>
  </si>
  <si>
    <t>Rent</t>
  </si>
  <si>
    <t>Utilities (electricity/gas)</t>
  </si>
  <si>
    <t>Home Internet</t>
  </si>
  <si>
    <t>Mobile Internet</t>
  </si>
  <si>
    <t>Groceries</t>
  </si>
  <si>
    <t>Transportation</t>
  </si>
  <si>
    <t>Working 3 days from office .. Hanging out 6 days per month</t>
  </si>
  <si>
    <t>Flight tickets to/from Egypt</t>
  </si>
  <si>
    <t>Assuming 2 round trips per year with one costing 550 per person</t>
  </si>
  <si>
    <t>Eating out</t>
  </si>
  <si>
    <t>Assuming eating out twice per month</t>
  </si>
  <si>
    <t>Cafes</t>
  </si>
  <si>
    <t>Assuming going to a café twice per month</t>
  </si>
  <si>
    <t>Entertainment</t>
  </si>
  <si>
    <t>Clothes</t>
  </si>
  <si>
    <t>Haircuts</t>
  </si>
  <si>
    <t>Assuming cutting hair and beard every 3 weeks</t>
  </si>
  <si>
    <t>Gym</t>
  </si>
  <si>
    <t>Unexpected / Buffer</t>
  </si>
  <si>
    <t>Total</t>
  </si>
  <si>
    <t>Rent + Council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</si>
</sst>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\£#,##0.00"/>
    <numFmt numFmtId="165" formatCode="\$#,##0.00"/>
    <numFmt numFmtId="166" formatCode="0.0000"/>
    <numFmt numFmtId="167" formatCode="mmm\ d\,\ yyyy"/>
    <numFmt numFmtId="168" formatCode="mmm\ yyyy"/>
    <numFmt numFmtId="169" formatCode="&quot;$&quot;#,##0.00"/>
    <numFmt numFmtId="170" formatCode="_-[$£-809]* #,##0.00_-;\-[$£-809]* #,##0.00_-;_-[$£-809]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24242"/>
      <name val="Aptos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E8EEF7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ck">
        <color rgb="FF00000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3">
    <xf numFmtId="0" fontId="0" fillId="0" borderId="0"/>
    <xf numFmtId="9" fontId="7" fillId="0" borderId="0"/>
    <xf numFmtId="44" fontId="7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2" fillId="4" borderId="1" xfId="0" applyFont="1" applyFill="1" applyBorder="1" applyAlignment="1">
      <alignment horizontal="left"/>
    </xf>
    <xf numFmtId="164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left" wrapText="1"/>
    </xf>
    <xf numFmtId="0" fontId="4" fillId="0" borderId="0" xfId="0" applyFont="1" applyAlignment="1">
      <alignment wrapText="1"/>
    </xf>
    <xf numFmtId="10" fontId="0" fillId="4" borderId="1" xfId="0" applyNumberFormat="1" applyFill="1" applyBorder="1" applyAlignment="1">
      <alignment horizontal="right"/>
    </xf>
    <xf numFmtId="0" fontId="5" fillId="0" borderId="0" xfId="0" applyFont="1" applyAlignment="1">
      <alignment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10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10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left" wrapText="1"/>
    </xf>
    <xf numFmtId="0" fontId="2" fillId="4" borderId="2" xfId="0" applyFont="1" applyFill="1" applyBorder="1" applyAlignment="1">
      <alignment horizontal="left"/>
    </xf>
    <xf numFmtId="164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left" wrapText="1"/>
    </xf>
    <xf numFmtId="1" fontId="0" fillId="3" borderId="1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2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left" wrapText="1"/>
    </xf>
    <xf numFmtId="0" fontId="6" fillId="0" borderId="0" xfId="0" applyFont="1"/>
    <xf numFmtId="10" fontId="0" fillId="0" borderId="0" xfId="0" applyNumberFormat="1"/>
    <xf numFmtId="3" fontId="0" fillId="0" borderId="0" xfId="0" applyNumberFormat="1"/>
    <xf numFmtId="0" fontId="6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2" fontId="0" fillId="0" borderId="0" xfId="1" applyNumberFormat="1" applyFont="1"/>
    <xf numFmtId="0" fontId="1" fillId="2" borderId="0" xfId="0" applyFont="1" applyFill="1" applyAlignment="1">
      <alignment horizontal="center" vertical="center"/>
    </xf>
    <xf numFmtId="169" fontId="0" fillId="0" borderId="0" xfId="0" applyNumberFormat="1"/>
    <xf numFmtId="169" fontId="0" fillId="0" borderId="0" xfId="0" applyNumberFormat="1" applyAlignment="1">
      <alignment horizontal="center" vertical="center"/>
    </xf>
    <xf numFmtId="44" fontId="0" fillId="0" borderId="0" xfId="2" applyFont="1"/>
    <xf numFmtId="0" fontId="0" fillId="0" borderId="0" xfId="0" quotePrefix="1"/>
    <xf numFmtId="168" fontId="0" fillId="0" borderId="0" xfId="0" applyNumberFormat="1"/>
    <xf numFmtId="9" fontId="7" fillId="0" borderId="0" xfId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  <xf numFmtId="44" fontId="7" fillId="0" borderId="0" xfId="2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Monthly Schedul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zoomScaleNormal="100" workbookViewId="0">
      <pane ySplit="1" topLeftCell="A2" activePane="bottomLeft" state="frozen"/>
      <selection pane="bottomLeft" activeCell="G71" sqref="G71"/>
    </sheetView>
  </sheetViews>
  <sheetFormatPr defaultRowHeight="14.4" x14ac:dyDescent="0.3"/>
  <cols>
    <col min="1" max="1" width="53.33203125" bestFit="1" customWidth="1"/>
    <col min="2" max="2" width="18" customWidth="1"/>
    <col min="3" max="3" width="62" customWidth="1"/>
    <col min="4" max="5" width="37" bestFit="1" customWidth="1"/>
    <col min="6" max="6" width="10.77734375" bestFit="1" customWidth="1"/>
    <col min="7" max="7" width="37" bestFit="1" customWidth="1"/>
    <col min="8" max="8" width="11.21875" bestFit="1" customWidth="1"/>
    <col min="9" max="9" width="37" bestFit="1" customWidth="1"/>
  </cols>
  <sheetData>
    <row r="1" spans="1:7" ht="18" customHeight="1" x14ac:dyDescent="0.35">
      <c r="A1" s="1" t="s">
        <v>0</v>
      </c>
      <c r="B1" s="1" t="s">
        <v>1</v>
      </c>
      <c r="C1" s="1" t="s">
        <v>2</v>
      </c>
      <c r="E1" s="2"/>
      <c r="G1" s="41"/>
    </row>
    <row r="2" spans="1:7" ht="15.6" customHeight="1" x14ac:dyDescent="0.3">
      <c r="A2" s="3" t="s">
        <v>3</v>
      </c>
      <c r="B2" s="4">
        <v>50000</v>
      </c>
      <c r="C2" s="5" t="s">
        <v>4</v>
      </c>
      <c r="E2" s="6"/>
      <c r="G2" s="42"/>
    </row>
    <row r="3" spans="1:7" x14ac:dyDescent="0.3">
      <c r="A3" s="3"/>
      <c r="B3" s="7"/>
      <c r="C3" s="5"/>
      <c r="E3" s="8"/>
      <c r="G3" s="42"/>
    </row>
    <row r="4" spans="1:7" x14ac:dyDescent="0.3">
      <c r="A4" s="9" t="s">
        <v>5</v>
      </c>
      <c r="B4" s="11">
        <v>0.03</v>
      </c>
      <c r="C4" s="10" t="s">
        <v>6</v>
      </c>
      <c r="E4" s="8"/>
      <c r="G4" s="42"/>
    </row>
    <row r="5" spans="1:7" x14ac:dyDescent="0.3">
      <c r="A5" s="12" t="s">
        <v>7</v>
      </c>
      <c r="B5" s="13">
        <v>0.03</v>
      </c>
      <c r="C5" s="14" t="s">
        <v>8</v>
      </c>
      <c r="E5" s="8"/>
      <c r="G5" s="42"/>
    </row>
    <row r="6" spans="1:7" x14ac:dyDescent="0.3">
      <c r="A6" s="9" t="s">
        <v>9</v>
      </c>
      <c r="B6" s="11">
        <v>0.03</v>
      </c>
      <c r="C6" s="10" t="s">
        <v>10</v>
      </c>
    </row>
    <row r="7" spans="1:7" x14ac:dyDescent="0.3">
      <c r="A7" s="12" t="s">
        <v>11</v>
      </c>
      <c r="B7" s="13">
        <v>0.03</v>
      </c>
      <c r="C7" s="14" t="s">
        <v>12</v>
      </c>
    </row>
    <row r="8" spans="1:7" ht="28.95" customHeight="1" x14ac:dyDescent="0.3">
      <c r="A8" s="15" t="s">
        <v>13</v>
      </c>
      <c r="B8" s="16">
        <v>3000</v>
      </c>
      <c r="C8" s="17" t="s">
        <v>14</v>
      </c>
    </row>
    <row r="9" spans="1:7" ht="28.95" customHeight="1" x14ac:dyDescent="0.3">
      <c r="A9" s="12" t="s">
        <v>15</v>
      </c>
      <c r="B9" s="18">
        <v>0</v>
      </c>
      <c r="C9" s="14" t="s">
        <v>16</v>
      </c>
    </row>
    <row r="10" spans="1:7" x14ac:dyDescent="0.3">
      <c r="A10" s="3" t="s">
        <v>17</v>
      </c>
      <c r="B10" s="4">
        <v>0</v>
      </c>
      <c r="C10" s="5" t="s">
        <v>18</v>
      </c>
    </row>
    <row r="11" spans="1:7" x14ac:dyDescent="0.3">
      <c r="A11" s="12" t="s">
        <v>19</v>
      </c>
      <c r="B11" s="18">
        <v>0</v>
      </c>
      <c r="C11" s="14" t="s">
        <v>16</v>
      </c>
    </row>
    <row r="12" spans="1:7" x14ac:dyDescent="0.3">
      <c r="A12" s="15" t="s">
        <v>20</v>
      </c>
      <c r="B12" s="19">
        <v>30000</v>
      </c>
      <c r="C12" s="17" t="s">
        <v>21</v>
      </c>
    </row>
    <row r="13" spans="1:7" x14ac:dyDescent="0.3">
      <c r="A13" s="12" t="s">
        <v>22</v>
      </c>
      <c r="B13" s="20">
        <v>1.36</v>
      </c>
      <c r="C13" s="14" t="s">
        <v>23</v>
      </c>
    </row>
    <row r="14" spans="1:7" x14ac:dyDescent="0.3">
      <c r="A14" s="9"/>
      <c r="B14" s="21"/>
      <c r="C14" s="10"/>
    </row>
    <row r="15" spans="1:7" x14ac:dyDescent="0.3">
      <c r="A15" s="12" t="s">
        <v>24</v>
      </c>
      <c r="B15" s="13">
        <v>0</v>
      </c>
      <c r="C15" s="14" t="s">
        <v>25</v>
      </c>
    </row>
    <row r="16" spans="1:7" x14ac:dyDescent="0.3">
      <c r="A16" s="22" t="s">
        <v>26</v>
      </c>
      <c r="B16" s="23">
        <v>0</v>
      </c>
      <c r="C16" s="24" t="s">
        <v>27</v>
      </c>
    </row>
    <row r="17" spans="1:3" x14ac:dyDescent="0.3">
      <c r="A17" s="12" t="s">
        <v>28</v>
      </c>
      <c r="B17" s="13">
        <v>0.04</v>
      </c>
      <c r="C17" s="14" t="s">
        <v>29</v>
      </c>
    </row>
    <row r="18" spans="1:3" x14ac:dyDescent="0.3">
      <c r="A18" s="9" t="s">
        <v>30</v>
      </c>
      <c r="B18" s="11">
        <v>0.1</v>
      </c>
      <c r="C18" s="10" t="s">
        <v>31</v>
      </c>
    </row>
    <row r="19" spans="1:3" x14ac:dyDescent="0.3">
      <c r="A19" s="12" t="s">
        <v>32</v>
      </c>
      <c r="B19" s="13">
        <v>0.01</v>
      </c>
      <c r="C19" s="14" t="s">
        <v>33</v>
      </c>
    </row>
    <row r="20" spans="1:3" x14ac:dyDescent="0.3">
      <c r="A20" s="9" t="s">
        <v>34</v>
      </c>
      <c r="B20" s="11">
        <v>7.0000000000000007E-2</v>
      </c>
      <c r="C20" s="10" t="s">
        <v>35</v>
      </c>
    </row>
    <row r="24" spans="1:3" x14ac:dyDescent="0.3">
      <c r="A24" s="25" t="s">
        <v>36</v>
      </c>
    </row>
    <row r="25" spans="1:3" x14ac:dyDescent="0.3">
      <c r="A25" t="s">
        <v>37</v>
      </c>
      <c r="B25" s="26">
        <v>0</v>
      </c>
      <c r="C25" t="s">
        <v>38</v>
      </c>
    </row>
    <row r="26" spans="1:3" x14ac:dyDescent="0.3">
      <c r="A26" t="s">
        <v>39</v>
      </c>
      <c r="B26" s="26">
        <v>0.03</v>
      </c>
      <c r="C26" t="s">
        <v>40</v>
      </c>
    </row>
    <row r="27" spans="1:3" x14ac:dyDescent="0.3">
      <c r="A27" t="s">
        <v>41</v>
      </c>
      <c r="B27" s="26">
        <v>0</v>
      </c>
      <c r="C27" t="s">
        <v>42</v>
      </c>
    </row>
    <row r="28" spans="1:3" x14ac:dyDescent="0.3">
      <c r="A28" t="s">
        <v>43</v>
      </c>
      <c r="B28" s="26">
        <v>0</v>
      </c>
      <c r="C28" t="s">
        <v>44</v>
      </c>
    </row>
    <row r="30" spans="1:3" x14ac:dyDescent="0.3">
      <c r="A30" s="25" t="s">
        <v>45</v>
      </c>
    </row>
    <row r="31" spans="1:3" x14ac:dyDescent="0.3">
      <c r="A31" t="s">
        <v>46</v>
      </c>
      <c r="B31" s="27">
        <v>0</v>
      </c>
      <c r="C31" t="s">
        <v>47</v>
      </c>
    </row>
    <row r="32" spans="1:3" x14ac:dyDescent="0.3">
      <c r="A32" t="s">
        <v>48</v>
      </c>
      <c r="B32" s="27">
        <v>0</v>
      </c>
      <c r="C32" t="s">
        <v>49</v>
      </c>
    </row>
    <row r="33" spans="1:3" x14ac:dyDescent="0.3">
      <c r="A33" t="s">
        <v>50</v>
      </c>
      <c r="B33" s="27">
        <v>0</v>
      </c>
      <c r="C33" t="s">
        <v>51</v>
      </c>
    </row>
    <row r="35" spans="1:3" x14ac:dyDescent="0.3">
      <c r="A35" s="25" t="s">
        <v>52</v>
      </c>
    </row>
    <row r="36" spans="1:3" x14ac:dyDescent="0.3">
      <c r="A36" t="s">
        <v>53</v>
      </c>
      <c r="B36" s="27">
        <v>12570</v>
      </c>
      <c r="C36" t="s">
        <v>54</v>
      </c>
    </row>
    <row r="37" spans="1:3" x14ac:dyDescent="0.3">
      <c r="A37" t="s">
        <v>55</v>
      </c>
      <c r="B37" s="27">
        <v>50270</v>
      </c>
      <c r="C37" t="s">
        <v>56</v>
      </c>
    </row>
    <row r="38" spans="1:3" x14ac:dyDescent="0.3">
      <c r="A38" t="s">
        <v>57</v>
      </c>
      <c r="B38" s="27">
        <v>125140</v>
      </c>
      <c r="C38" t="s">
        <v>58</v>
      </c>
    </row>
    <row r="39" spans="1:3" x14ac:dyDescent="0.3">
      <c r="A39" t="s">
        <v>59</v>
      </c>
      <c r="B39" s="26">
        <v>0.2</v>
      </c>
      <c r="C39" t="s">
        <v>60</v>
      </c>
    </row>
    <row r="40" spans="1:3" x14ac:dyDescent="0.3">
      <c r="A40" t="s">
        <v>61</v>
      </c>
      <c r="B40" s="26">
        <v>0.4</v>
      </c>
      <c r="C40" t="s">
        <v>62</v>
      </c>
    </row>
    <row r="41" spans="1:3" x14ac:dyDescent="0.3">
      <c r="A41" t="s">
        <v>63</v>
      </c>
      <c r="B41" s="26">
        <v>0.45</v>
      </c>
      <c r="C41" t="s">
        <v>64</v>
      </c>
    </row>
    <row r="42" spans="1:3" x14ac:dyDescent="0.3">
      <c r="A42" t="s">
        <v>65</v>
      </c>
      <c r="B42" s="27">
        <v>4</v>
      </c>
      <c r="C42" t="s">
        <v>66</v>
      </c>
    </row>
    <row r="43" spans="1:3" x14ac:dyDescent="0.3">
      <c r="A43" t="s">
        <v>67</v>
      </c>
      <c r="B43" s="27">
        <v>1048</v>
      </c>
      <c r="C43" t="s">
        <v>68</v>
      </c>
    </row>
    <row r="44" spans="1:3" x14ac:dyDescent="0.3">
      <c r="A44" t="s">
        <v>69</v>
      </c>
      <c r="B44" s="27">
        <v>4189</v>
      </c>
      <c r="C44" t="s">
        <v>70</v>
      </c>
    </row>
    <row r="45" spans="1:3" x14ac:dyDescent="0.3">
      <c r="A45" t="s">
        <v>71</v>
      </c>
      <c r="B45" s="26">
        <v>0.08</v>
      </c>
      <c r="C45" t="s">
        <v>72</v>
      </c>
    </row>
    <row r="46" spans="1:3" x14ac:dyDescent="0.3">
      <c r="A46" t="s">
        <v>73</v>
      </c>
      <c r="B46" s="26">
        <v>0.02</v>
      </c>
      <c r="C46" t="s">
        <v>74</v>
      </c>
    </row>
    <row r="50" spans="1:7" x14ac:dyDescent="0.3">
      <c r="A50" t="s">
        <v>75</v>
      </c>
      <c r="B50" s="27">
        <f>2400</f>
        <v>2400</v>
      </c>
    </row>
    <row r="51" spans="1:7" ht="18" x14ac:dyDescent="0.3">
      <c r="A51" t="s">
        <v>76</v>
      </c>
      <c r="B51" s="43">
        <f>B50*1.02</f>
        <v>2448</v>
      </c>
      <c r="E51" s="55" t="s">
        <v>121</v>
      </c>
      <c r="F51" s="56"/>
      <c r="G51" s="56"/>
    </row>
    <row r="52" spans="1:7" x14ac:dyDescent="0.3">
      <c r="A52" t="s">
        <v>77</v>
      </c>
      <c r="B52">
        <f>B51*1.02</f>
        <v>2496.96</v>
      </c>
      <c r="E52" s="51" t="s">
        <v>122</v>
      </c>
      <c r="F52" s="51" t="s">
        <v>123</v>
      </c>
      <c r="G52" s="51" t="s">
        <v>124</v>
      </c>
    </row>
    <row r="53" spans="1:7" x14ac:dyDescent="0.3">
      <c r="A53" t="s">
        <v>78</v>
      </c>
      <c r="B53" s="27">
        <f>B52*1.02</f>
        <v>2546.8992000000003</v>
      </c>
      <c r="E53" s="32" t="s">
        <v>125</v>
      </c>
      <c r="F53" s="53">
        <f>1050+215</f>
        <v>1265</v>
      </c>
      <c r="G53" s="32" t="s">
        <v>145</v>
      </c>
    </row>
    <row r="54" spans="1:7" x14ac:dyDescent="0.3">
      <c r="A54" t="s">
        <v>79</v>
      </c>
      <c r="B54" s="27">
        <f>B53*1.02</f>
        <v>2597.8371840000004</v>
      </c>
      <c r="E54" s="32" t="s">
        <v>126</v>
      </c>
      <c r="F54" s="53">
        <v>160</v>
      </c>
      <c r="G54" s="32"/>
    </row>
    <row r="55" spans="1:7" x14ac:dyDescent="0.3">
      <c r="E55" s="32" t="s">
        <v>127</v>
      </c>
      <c r="F55" s="53">
        <v>35</v>
      </c>
      <c r="G55" s="32"/>
    </row>
    <row r="56" spans="1:7" x14ac:dyDescent="0.3">
      <c r="A56" t="s">
        <v>80</v>
      </c>
      <c r="B56" s="26">
        <v>0</v>
      </c>
      <c r="C56" t="s">
        <v>81</v>
      </c>
      <c r="E56" s="32" t="s">
        <v>128</v>
      </c>
      <c r="F56" s="53">
        <v>20</v>
      </c>
      <c r="G56" s="32"/>
    </row>
    <row r="57" spans="1:7" x14ac:dyDescent="0.3">
      <c r="A57" t="s">
        <v>82</v>
      </c>
      <c r="B57" s="26">
        <v>0</v>
      </c>
      <c r="C57" t="s">
        <v>83</v>
      </c>
      <c r="E57" s="32" t="s">
        <v>129</v>
      </c>
      <c r="F57" s="53">
        <v>300</v>
      </c>
      <c r="G57" s="32"/>
    </row>
    <row r="58" spans="1:7" ht="28.8" x14ac:dyDescent="0.3">
      <c r="A58" t="s">
        <v>84</v>
      </c>
      <c r="B58" s="26">
        <v>0</v>
      </c>
      <c r="C58" t="s">
        <v>85</v>
      </c>
      <c r="D58" s="48"/>
      <c r="E58" s="32" t="s">
        <v>130</v>
      </c>
      <c r="F58" s="53">
        <v>60</v>
      </c>
      <c r="G58" s="52" t="s">
        <v>131</v>
      </c>
    </row>
    <row r="59" spans="1:7" ht="28.8" x14ac:dyDescent="0.3">
      <c r="D59" s="48"/>
      <c r="E59" s="32" t="s">
        <v>132</v>
      </c>
      <c r="F59" s="53">
        <v>135</v>
      </c>
      <c r="G59" s="52" t="s">
        <v>133</v>
      </c>
    </row>
    <row r="60" spans="1:7" x14ac:dyDescent="0.3">
      <c r="A60" s="25" t="s">
        <v>86</v>
      </c>
      <c r="C60" t="s">
        <v>87</v>
      </c>
      <c r="E60" s="32" t="s">
        <v>134</v>
      </c>
      <c r="F60" s="53">
        <v>100</v>
      </c>
      <c r="G60" s="32" t="s">
        <v>135</v>
      </c>
    </row>
    <row r="61" spans="1:7" x14ac:dyDescent="0.3">
      <c r="A61" t="s">
        <v>88</v>
      </c>
      <c r="B61" s="50">
        <v>0.08</v>
      </c>
      <c r="C61" t="s">
        <v>89</v>
      </c>
      <c r="E61" s="32" t="s">
        <v>136</v>
      </c>
      <c r="F61" s="53">
        <v>20</v>
      </c>
      <c r="G61" s="32" t="s">
        <v>137</v>
      </c>
    </row>
    <row r="62" spans="1:7" x14ac:dyDescent="0.3">
      <c r="A62" t="s">
        <v>90</v>
      </c>
      <c r="B62" s="50">
        <v>0.08</v>
      </c>
      <c r="C62" t="s">
        <v>91</v>
      </c>
      <c r="E62" s="32" t="s">
        <v>138</v>
      </c>
      <c r="F62" s="53">
        <v>0</v>
      </c>
      <c r="G62" s="32"/>
    </row>
    <row r="63" spans="1:7" x14ac:dyDescent="0.3">
      <c r="A63" t="s">
        <v>92</v>
      </c>
      <c r="B63" s="50">
        <v>0.08</v>
      </c>
      <c r="C63" t="s">
        <v>93</v>
      </c>
      <c r="E63" s="32" t="s">
        <v>139</v>
      </c>
      <c r="F63" s="53">
        <v>0</v>
      </c>
      <c r="G63" s="32"/>
    </row>
    <row r="64" spans="1:7" ht="28.8" x14ac:dyDescent="0.3">
      <c r="A64" t="s">
        <v>94</v>
      </c>
      <c r="B64" s="50">
        <v>0.1</v>
      </c>
      <c r="C64" t="s">
        <v>95</v>
      </c>
      <c r="E64" s="32" t="s">
        <v>140</v>
      </c>
      <c r="F64" s="53">
        <v>35</v>
      </c>
      <c r="G64" s="52" t="s">
        <v>141</v>
      </c>
    </row>
    <row r="65" spans="1:7" x14ac:dyDescent="0.3">
      <c r="A65" t="s">
        <v>96</v>
      </c>
      <c r="B65" s="50">
        <v>0.1</v>
      </c>
      <c r="C65" t="s">
        <v>97</v>
      </c>
      <c r="E65" s="32" t="s">
        <v>142</v>
      </c>
      <c r="F65" s="53">
        <v>90</v>
      </c>
      <c r="G65" s="32"/>
    </row>
    <row r="66" spans="1:7" x14ac:dyDescent="0.3">
      <c r="E66" s="32" t="s">
        <v>143</v>
      </c>
      <c r="F66" s="53">
        <v>100</v>
      </c>
      <c r="G66" s="32"/>
    </row>
    <row r="67" spans="1:7" x14ac:dyDescent="0.3">
      <c r="E67" s="32" t="s">
        <v>144</v>
      </c>
      <c r="F67" s="53">
        <f>SUM(F53:F66)</f>
        <v>2320</v>
      </c>
      <c r="G67" s="32"/>
    </row>
  </sheetData>
  <mergeCells count="1">
    <mergeCell ref="E51:G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5"/>
  <sheetViews>
    <sheetView zoomScale="97" workbookViewId="0">
      <pane ySplit="1" topLeftCell="A2" activePane="bottomLeft" state="frozen"/>
      <selection pane="bottomLeft" activeCell="M26" sqref="M26"/>
    </sheetView>
  </sheetViews>
  <sheetFormatPr defaultRowHeight="14.4" x14ac:dyDescent="0.3"/>
  <cols>
    <col min="1" max="1" width="9" style="32" bestFit="1" customWidth="1"/>
    <col min="2" max="3" width="15.6640625" style="32" bestFit="1" customWidth="1"/>
    <col min="4" max="4" width="13.88671875" style="32" bestFit="1" customWidth="1"/>
    <col min="5" max="5" width="16.88671875" style="32" bestFit="1" customWidth="1"/>
    <col min="6" max="6" width="15.33203125" style="32" bestFit="1" customWidth="1"/>
    <col min="7" max="7" width="21.6640625" style="32" bestFit="1" customWidth="1"/>
    <col min="8" max="8" width="30.44140625" style="32" bestFit="1" customWidth="1"/>
    <col min="9" max="9" width="28.6640625" style="32" bestFit="1" customWidth="1"/>
    <col min="10" max="10" width="22" style="30" hidden="1" customWidth="1"/>
    <col min="11" max="11" width="18" style="30" hidden="1" customWidth="1"/>
    <col min="12" max="12" width="0" hidden="1"/>
    <col min="13" max="13" width="33" bestFit="1" customWidth="1"/>
    <col min="14" max="14" width="11.33203125" style="45" bestFit="1" customWidth="1"/>
    <col min="15" max="15" width="11.6640625" bestFit="1" customWidth="1"/>
    <col min="16" max="16" width="11.44140625" style="47" bestFit="1" customWidth="1"/>
    <col min="17" max="17" width="17.33203125" style="45" bestFit="1" customWidth="1"/>
  </cols>
  <sheetData>
    <row r="1" spans="1:15" x14ac:dyDescent="0.3">
      <c r="A1" s="33" t="s">
        <v>98</v>
      </c>
      <c r="B1" s="33" t="s">
        <v>99</v>
      </c>
      <c r="C1" s="33" t="s">
        <v>100</v>
      </c>
      <c r="D1" s="33" t="s">
        <v>101</v>
      </c>
      <c r="E1" s="33" t="s">
        <v>102</v>
      </c>
      <c r="F1" s="33" t="s">
        <v>103</v>
      </c>
      <c r="G1" s="33" t="s">
        <v>104</v>
      </c>
      <c r="H1" s="33" t="s">
        <v>105</v>
      </c>
      <c r="I1" s="33" t="s">
        <v>106</v>
      </c>
      <c r="J1" s="28" t="s">
        <v>107</v>
      </c>
      <c r="K1" s="28" t="s">
        <v>108</v>
      </c>
      <c r="L1" t="s">
        <v>109</v>
      </c>
    </row>
    <row r="2" spans="1:15" ht="18" customHeight="1" x14ac:dyDescent="0.3">
      <c r="A2" s="35">
        <v>46235</v>
      </c>
      <c r="B2" s="36">
        <f t="shared" ref="B2:B33" si="0">(IF(YEAR($A2)=2026,Base_Annual_Salary_GBP,IF(YEAR($A2)=2027,Base_Annual_Salary_GBP*(IF(MONTH($A2)&gt;=4,(1+Raise_Pct_Apr2027),1)*IF(MONTH($A2)&gt;=10,(1+Raise_Pct_Nov2027),1)),IF(YEAR($A2)=2028,Base_Annual_Salary_GBP*((1+Raise_Pct_Apr2027)*(1+Raise_Pct_Nov2027))*(IF(MONTH($A2)&gt;=4,(1+Raise_Pct_Apr2028),1)*IF(MONTH($A2)&gt;=10,(1+Raise_Pct_Nov2028),1)),IF(YEAR($A2)=2029,Base_Annual_Salary_GBP*((1+Raise_Pct_Apr2027)*(1+Raise_Pct_Nov2027)*(1+Raise_Pct_Apr2028)*(1+Raise_Pct_Nov2028))*(IF(MONTH($A2)&gt;=4,(1+Raise_Pct_Apr2029),1)*IF(MONTH($A2)&gt;=10,(1+Raise_Pct_Nov2029),1)),Base_Annual_Salary_GBP*((1+Raise_Pct_Apr2027)*(1+Raise_Pct_Nov2027)*(1+Raise_Pct_Apr2028)*(1+Raise_Pct_Nov2028)*(1+Raise_Pct_Apr2029)*(1+Raise_Pct_Nov2029))*(IF(MONTH($A2)&gt;=4,(1+Raise_Pct_Apr2030),1)*IF(MONTH($A2)&gt;=10,(1+Raise_Pct_Nov2030),1)))))))/12</f>
        <v>4166.666666666667</v>
      </c>
      <c r="C2" s="36">
        <f t="shared" ref="C2:C33" si="1">IF(MONTH($A2)=11,((IF(DATE(YEAR($A2),4,1)&lt;DATE(2026,10,1),Bonus_Pct_Aug2026_to_Sep2026,IF(DATE(YEAR($A2),4,1)&lt;DATE(2027,10,1),Bonus_Pct_Oct2026_to_Sep2027,IF(DATE(YEAR($A2),4,1)&lt;DATE(2028,10,1),Bonus_Pct_Oct2027_to_Sep2028,IF(DATE(YEAR($A2),4,1)&lt;DATE(2029,10,1),Bonus_Pct_Oct2028_to_Sep2029,Bonus_Pct_Oct2029_onwards)))))/2)*($B2*12) / (1 + IF(YEAR($A2)=2027,Raise_Pct_Nov2027,IF(YEAR($A2)=2028,Raise_Pct_Nov2028,IF(YEAR($A2)=2029,Raise_Pct_Nov2029,IF(YEAR($A2)=2030,Raise_Pct_Nov2030,0))))) * IF(YEAR($A2)=2026,2/6,1),IF(MONTH($A2)=5,((IF(DATE(YEAR($A2)-1,10,1)&lt;DATE(2026,10,1),Bonus_Pct_Aug2026_to_Sep2026,IF(DATE(YEAR($A2)-1,10,1)&lt;DATE(2027,10,1),Bonus_Pct_Oct2026_to_Sep2027,IF(DATE(YEAR($A2)-1,10,1)&lt;DATE(2028,10,1),Bonus_Pct_Oct2027_to_Sep2028,IF(DATE(YEAR($A2)-1,10,1)&lt;DATE(2029,10,1),Bonus_Pct_Oct2028_to_Sep2029,Bonus_Pct_Oct2029_onwards)))))/2)*($B2*12) / (1 + IF(YEAR($A2)=2027,Raise_Pct_Apr2027,IF(YEAR($A2)=2028,Raise_Pct_Apr2028,IF(YEAR($A2)=2029,Raise_Pct_Apr2029,IF(YEAR($A2)=2030,Raise_Pct_Apr2030,0))))),0))</f>
        <v>0</v>
      </c>
      <c r="D2" s="36">
        <f>IF(OR($A2=DATE(2027,9,1),$A2=EDATE(DATE(2027,9,1),12),$A2=EDATE(DATE(2027,9,1),24)),(New_Hire_Stock_Grant_USD/3)/FX_USD_per_GBP*(1+IF(YEAR($A2)=2027,Inputs!$B$56,IF(YEAR($A2)=2028,Inputs!$B$57,IF(YEAR($A2)=2029,Inputs!$B$58,0)))),0)+IF(OR($A2=DATE(2028,11,1),$A2=DATE(2029,11,1),$A2=DATE(2030,11,1)),(RSU_Grant_Nov2027_USD/3)/FX_USD_per_GBP*(1+RSU_Price_Change_Pct)^(YEAR($A2)-2028),0)+IF(OR($A2=DATE(2029,11,1),$A2=DATE(2030,11,1)),(RSU_Grant_Nov2028_USD/3)/FX_USD_per_GBP*(1+RSU_Price_Change_Pct)^(YEAR($A2)-2029),0)+IF($A2=DATE(2030,11,1),(RSU_Grant_Nov2029_USD/3)/FX_USD_per_GBP*(1+RSU_Price_Change_Pct)^(YEAR($A2)-2030),0)</f>
        <v>0</v>
      </c>
      <c r="E2" s="36">
        <f>IF($A2=EDATE(DATE(2026,8,1),Inputs!$B$9),Inputs!$B$8,0)</f>
        <v>3000</v>
      </c>
      <c r="F2" s="36">
        <f>IF($A2=EDATE(DATE(2026,8,1),Inputs!$B$11),Inputs!$B$10,0)</f>
        <v>0</v>
      </c>
      <c r="G2" s="36">
        <f>IF(Inputs!$B$16=1,((IF(YEAR($A2)=2026,Inputs!$B$2,IF(YEAR($A2)=2027,IF(MONTH($A2)&gt;=Inputs!#REF!,Inputs!$B$2*(1+Inputs!$B$4),Inputs!$B$2),IF(YEAR($A2)=2028,IF(MONTH($A2)&gt;=Inputs!#REF!,Inputs!$B$2*(1+Inputs!$B$4)*(1+Inputs!$B$5),Inputs!$B$2*(1+Inputs!$B$4)),IF(YEAR($A2)=2029,IF(MONTH($A2)&gt;=Inputs!#REF!,Inputs!$B$2*(1+Inputs!$B$4)*(1+Inputs!$B$5)*(1+Inputs!$B$6),Inputs!$B$2*(1+Inputs!$B$4)*(1+Inputs!$B$5)),IF(MONTH($A2)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" s="36">
        <f t="shared" ref="H2:H33" si="2">SUM(B2:G2)</f>
        <v>7166.666666666667</v>
      </c>
      <c r="I2" s="31">
        <f t="shared" ref="I2:I33" si="3">$H2-J2-K2</f>
        <v>6470.0000000000009</v>
      </c>
      <c r="J2" s="29">
        <f t="shared" ref="J2:J33" si="4">_xlfn.SINGLE(_xlfn.LET(_xlpm.d, $A2, _xlpm.ys, YEAR(_xlfn.SINGLE(_xlpm.d)) - IF(MONTH(_xlfn.SINGLE(_xlpm.d)) &lt; UK_TaxYear_Start_Month, 1, 0), _xlpm.start, DATE(_xlfn.SINGLE(_xlpm.ys), UK_TaxYear_Start_Month, 1), _xlpm.m, DATEDIF(_xlfn.SINGLE(_xlpm.start), _xlfn.SINGLE(_xlpm.d), "m") + 1, _xlpm.cum, SUMIFS($H$2:$H$54, $A$2:$A$54, "&gt;=" &amp; _xlfn.SINGLE(_xlpm.start), $A$2:$A$54, "&lt;=" &amp; _xlfn.SINGLE(_xlpm.d)), _xlpm.pa, UK_Personal_Allowance_Annual / 12 * _xlfn.SINGLE(_xlpm.m), _xlpm.br, (UK_Basic_Band_Upper_Annual - UK_Personal_Allowance_Annual) / 12 * _xlfn.SINGLE(_xlpm.m), _xlpm.hr, (UK_Higher_Band_Upper_Annual - UK_Basic_Band_Upper_Annual) / 12 * _xlfn.SINGLE(_xlpm.m), _xlpm.taxable, MAX(0, _xlfn.SINGLE(_xlpm.cum) - _xlfn.SINGLE(_xlpm.pa)), _xlpm.tax_to_date, UK_Basic_Rate * MIN(_xlpm.taxable, _xlpm.br) + UK_Higher_Rate * MIN(MAX(_xlfn.SINGLE(_xlpm.taxable) - _xlfn.SINGLE(_xlpm.br), 0), _xlpm.hr) + UK_Additional_Rate * MAX(_xlfn.SINGLE(_xlpm.taxable) - _xlfn.SINGLE(_xlpm.br) - _xlfn.SINGLE(_xlpm.hr), 0), _xlpm.prior, SUMIFS($J$2:$J$54, $A$2:$A$54, "&gt;=" &amp; _xlfn.SINGLE(_xlpm.start), $A$2:$A$54, "&lt;" &amp; _xlfn.SINGLE(_xlpm.d)), MAX(0, _xlfn.SINGLE(_xlpm.tax_to_date) - _xlfn.SINGLE(_xlpm.prior))))</f>
        <v>385.83333333333343</v>
      </c>
      <c r="K2" s="29">
        <f t="shared" ref="K2:K33" si="5">_xlfn.SINGLE(_xlfn.LET(_xlpm.g, $H2, _xlpm.pt, UK_NI_PT_Monthly, _xlpm.uel, UK_NI_UEL_Monthly, IF(_xlfn.SINGLE(_xlpm.g) &lt;= _xlfn.SINGLE(_xlpm.pt), 0, UK_NI_Main_Rate * MIN(_xlfn.SINGLE(_xlpm.g) - _xlfn.SINGLE(_xlpm.pt), _xlfn.SINGLE(_xlpm.uel) - _xlfn.SINGLE(_xlpm.pt)) + UK_NI_Upper_Rate * MAX(_xlfn.SINGLE(_xlpm.g) - _xlfn.SINGLE(_xlpm.uel), 0))))</f>
        <v>310.83333333333337</v>
      </c>
      <c r="L2">
        <f t="shared" ref="L2:L33" si="6">IF($A2&lt;DATE(2026,10,1),Bonus_Pct_Aug2026_to_Sep2026,IF($A2&lt;DATE(2027,10,1),Bonus_Pct_Oct2026_to_Sep2027,IF($A2&lt;DATE(2028,10,1),Bonus_Pct_Oct2027_to_Sep2028,IF($A2&lt;DATE(2029,10,1),Bonus_Pct_Oct2028_to_Sep2029,Bonus_Pct_Oct2029_onwards))))</f>
        <v>0.08</v>
      </c>
    </row>
    <row r="3" spans="1:15" ht="18" customHeight="1" x14ac:dyDescent="0.3">
      <c r="A3" s="35">
        <v>46266</v>
      </c>
      <c r="B3" s="36">
        <f t="shared" si="0"/>
        <v>4166.666666666667</v>
      </c>
      <c r="C3" s="36">
        <f t="shared" si="1"/>
        <v>0</v>
      </c>
      <c r="D3" s="36">
        <f>IF(OR($A3=DATE(2027,9,1),$A3=EDATE(DATE(2027,9,1),12),$A3=EDATE(DATE(2027,9,1),24)),(New_Hire_Stock_Grant_USD/3)/FX_USD_per_GBP*(1+IF(YEAR($A3)=2027,Inputs!$B$56,IF(YEAR($A3)=2028,Inputs!$B$57,IF(YEAR($A3)=2029,Inputs!$B$58,0)))),0)+IF(OR($A3=DATE(2028,11,1),$A3=DATE(2029,11,1),$A3=DATE(2030,11,1)),(RSU_Grant_Nov2027_USD/3)/FX_USD_per_GBP*(1+RSU_Price_Change_Pct)^(YEAR($A3)-2028),0)+IF(OR($A3=DATE(2029,11,1),$A3=DATE(2030,11,1)),(RSU_Grant_Nov2028_USD/3)/FX_USD_per_GBP*(1+RSU_Price_Change_Pct)^(YEAR($A3)-2029),0)+IF($A3=DATE(2030,11,1),(RSU_Grant_Nov2029_USD/3)/FX_USD_per_GBP*(1+RSU_Price_Change_Pct)^(YEAR($A3)-2030),0)</f>
        <v>0</v>
      </c>
      <c r="E3" s="36">
        <f>IF($A3=EDATE(DATE(2026,8,1),Inputs!$B$9),Inputs!$B$8,0)</f>
        <v>0</v>
      </c>
      <c r="F3" s="36">
        <f>IF($A3=EDATE(DATE(2026,8,1),Inputs!$B$11),Inputs!$B$10,0)</f>
        <v>0</v>
      </c>
      <c r="G3" s="36">
        <f>IF(Inputs!$B$16=1,((IF(YEAR($A3)=2026,Inputs!$B$2,IF(YEAR($A3)=2027,IF(MONTH($A3)&gt;=Inputs!#REF!,Inputs!$B$2*(1+Inputs!$B$4),Inputs!$B$2),IF(YEAR($A3)=2028,IF(MONTH($A3)&gt;=Inputs!#REF!,Inputs!$B$2*(1+Inputs!$B$4)*(1+Inputs!$B$5),Inputs!$B$2*(1+Inputs!$B$4)),IF(YEAR($A3)=2029,IF(MONTH($A3)&gt;=Inputs!#REF!,Inputs!$B$2*(1+Inputs!$B$4)*(1+Inputs!$B$5)*(1+Inputs!$B$6),Inputs!$B$2*(1+Inputs!$B$4)*(1+Inputs!$B$5)),IF(MONTH($A3)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" s="36">
        <f t="shared" si="2"/>
        <v>4166.666666666667</v>
      </c>
      <c r="I3" s="31">
        <f t="shared" si="3"/>
        <v>3293.34</v>
      </c>
      <c r="J3" s="29">
        <f t="shared" si="4"/>
        <v>623.83333333333348</v>
      </c>
      <c r="K3" s="29">
        <f t="shared" si="5"/>
        <v>249.49333333333337</v>
      </c>
      <c r="L3">
        <f t="shared" si="6"/>
        <v>0.08</v>
      </c>
    </row>
    <row r="4" spans="1:15" ht="18" customHeight="1" x14ac:dyDescent="0.3">
      <c r="A4" s="35">
        <v>46296</v>
      </c>
      <c r="B4" s="36">
        <f t="shared" si="0"/>
        <v>4166.666666666667</v>
      </c>
      <c r="C4" s="36">
        <f t="shared" si="1"/>
        <v>0</v>
      </c>
      <c r="D4" s="36">
        <f>IF(OR($A4=DATE(2027,9,1),$A4=EDATE(DATE(2027,9,1),12),$A4=EDATE(DATE(2027,9,1),24)),(New_Hire_Stock_Grant_USD/3)/FX_USD_per_GBP*(1+IF(YEAR($A4)=2027,Inputs!$B$56,IF(YEAR($A4)=2028,Inputs!$B$57,IF(YEAR($A4)=2029,Inputs!$B$58,0)))),0)+IF(OR($A4=DATE(2028,11,1),$A4=DATE(2029,11,1),$A4=DATE(2030,11,1)),(RSU_Grant_Nov2027_USD/3)/FX_USD_per_GBP*(1+RSU_Price_Change_Pct)^(YEAR($A4)-2028),0)+IF(OR($A4=DATE(2029,11,1),$A4=DATE(2030,11,1)),(RSU_Grant_Nov2028_USD/3)/FX_USD_per_GBP*(1+RSU_Price_Change_Pct)^(YEAR($A4)-2029),0)+IF($A4=DATE(2030,11,1),(RSU_Grant_Nov2029_USD/3)/FX_USD_per_GBP*(1+RSU_Price_Change_Pct)^(YEAR($A4)-2030),0)</f>
        <v>0</v>
      </c>
      <c r="E4" s="36">
        <f>IF($A4=EDATE(DATE(2026,8,1),Inputs!$B$9),Inputs!$B$8,0)</f>
        <v>0</v>
      </c>
      <c r="F4" s="36">
        <f>IF($A4=EDATE(DATE(2026,8,1),Inputs!$B$11),Inputs!$B$10,0)</f>
        <v>0</v>
      </c>
      <c r="G4" s="36">
        <f>IF(Inputs!$B$16=1,((IF(YEAR($A4)=2026,Inputs!$B$2,IF(YEAR($A4)=2027,IF(MONTH($A4)&gt;=Inputs!#REF!,Inputs!$B$2*(1+Inputs!$B$4),Inputs!$B$2),IF(YEAR($A4)=2028,IF(MONTH($A4)&gt;=Inputs!#REF!,Inputs!$B$2*(1+Inputs!$B$4)*(1+Inputs!$B$5),Inputs!$B$2*(1+Inputs!$B$4)),IF(YEAR($A4)=2029,IF(MONTH($A4)&gt;=Inputs!#REF!,Inputs!$B$2*(1+Inputs!$B$4)*(1+Inputs!$B$5)*(1+Inputs!$B$6),Inputs!$B$2*(1+Inputs!$B$4)*(1+Inputs!$B$5)),IF(MONTH($A4)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" s="36">
        <f t="shared" si="2"/>
        <v>4166.666666666667</v>
      </c>
      <c r="I4" s="31">
        <f t="shared" si="3"/>
        <v>3293.3400000000006</v>
      </c>
      <c r="J4" s="29">
        <f t="shared" si="4"/>
        <v>623.83333333333303</v>
      </c>
      <c r="K4" s="29">
        <f t="shared" si="5"/>
        <v>249.49333333333337</v>
      </c>
      <c r="L4">
        <f t="shared" si="6"/>
        <v>0.08</v>
      </c>
    </row>
    <row r="5" spans="1:15" x14ac:dyDescent="0.3">
      <c r="A5" s="35">
        <v>46327</v>
      </c>
      <c r="B5" s="36">
        <f t="shared" si="0"/>
        <v>4166.666666666667</v>
      </c>
      <c r="C5" s="36">
        <f t="shared" si="1"/>
        <v>666.66666666666663</v>
      </c>
      <c r="D5" s="36">
        <f>IF(OR($A5=DATE(2027,9,1),$A5=EDATE(DATE(2027,9,1),12),$A5=EDATE(DATE(2027,9,1),24)),(New_Hire_Stock_Grant_USD/3)/FX_USD_per_GBP*(1+IF(YEAR($A5)=2027,Inputs!$B$56,IF(YEAR($A5)=2028,Inputs!$B$57,IF(YEAR($A5)=2029,Inputs!$B$58,0)))),0)+IF(OR($A5=DATE(2028,11,1),$A5=DATE(2029,11,1),$A5=DATE(2030,11,1)),(RSU_Grant_Nov2027_USD/3)/FX_USD_per_GBP*(1+RSU_Price_Change_Pct)^(YEAR($A5)-2028),0)+IF(OR($A5=DATE(2029,11,1),$A5=DATE(2030,11,1)),(RSU_Grant_Nov2028_USD/3)/FX_USD_per_GBP*(1+RSU_Price_Change_Pct)^(YEAR($A5)-2029),0)+IF($A5=DATE(2030,11,1),(RSU_Grant_Nov2029_USD/3)/FX_USD_per_GBP*(1+RSU_Price_Change_Pct)^(YEAR($A5)-2030),0)</f>
        <v>0</v>
      </c>
      <c r="E5" s="36">
        <f>IF($A5=EDATE(DATE(2026,8,1),Inputs!$B$9),Inputs!$B$8,0)</f>
        <v>0</v>
      </c>
      <c r="F5" s="36">
        <f>IF($A5=EDATE(DATE(2026,8,1),Inputs!$B$11),Inputs!$B$10,0)</f>
        <v>0</v>
      </c>
      <c r="G5" s="36">
        <f>IF(Inputs!$B$16=1,((IF(YEAR($A5)=2026,Inputs!$B$2,IF(YEAR($A5)=2027,IF(MONTH($A5)&gt;=Inputs!#REF!,Inputs!$B$2*(1+Inputs!$B$4),Inputs!$B$2),IF(YEAR($A5)=2028,IF(MONTH($A5)&gt;=Inputs!#REF!,Inputs!$B$2*(1+Inputs!$B$4)*(1+Inputs!$B$5),Inputs!$B$2*(1+Inputs!$B$4)),IF(YEAR($A5)=2029,IF(MONTH($A5)&gt;=Inputs!#REF!,Inputs!$B$2*(1+Inputs!$B$4)*(1+Inputs!$B$5)*(1+Inputs!$B$6),Inputs!$B$2*(1+Inputs!$B$4)*(1+Inputs!$B$5)),IF(MONTH($A5)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5" s="36">
        <f t="shared" si="2"/>
        <v>4833.3333333333339</v>
      </c>
      <c r="I5" s="31">
        <f t="shared" si="3"/>
        <v>3812</v>
      </c>
      <c r="J5" s="29">
        <f t="shared" si="4"/>
        <v>757.16666666666742</v>
      </c>
      <c r="K5" s="29">
        <f t="shared" si="5"/>
        <v>264.16666666666669</v>
      </c>
      <c r="L5">
        <f t="shared" si="6"/>
        <v>0.08</v>
      </c>
    </row>
    <row r="6" spans="1:15" ht="18" customHeight="1" thickBot="1" x14ac:dyDescent="0.35">
      <c r="A6" s="37">
        <v>46357</v>
      </c>
      <c r="B6" s="38">
        <f t="shared" si="0"/>
        <v>4166.666666666667</v>
      </c>
      <c r="C6" s="39">
        <f t="shared" si="1"/>
        <v>0</v>
      </c>
      <c r="D6" s="38">
        <f>IF(OR($A6=DATE(2027,9,1),$A6=EDATE(DATE(2027,9,1),12),$A6=EDATE(DATE(2027,9,1),24)),(New_Hire_Stock_Grant_USD/3)/FX_USD_per_GBP*(1+IF(YEAR($A6)=2027,Inputs!$B$56,IF(YEAR($A6)=2028,Inputs!$B$57,IF(YEAR($A6)=2029,Inputs!$B$58,0)))),0)+IF(OR($A6=DATE(2028,11,1),$A6=DATE(2029,11,1),$A6=DATE(2030,11,1)),(RSU_Grant_Nov2027_USD/3)/FX_USD_per_GBP*(1+RSU_Price_Change_Pct)^(YEAR($A6)-2028),0)+IF(OR($A6=DATE(2029,11,1),$A6=DATE(2030,11,1)),(RSU_Grant_Nov2028_USD/3)/FX_USD_per_GBP*(1+RSU_Price_Change_Pct)^(YEAR($A6)-2029),0)+IF($A6=DATE(2030,11,1),(RSU_Grant_Nov2029_USD/3)/FX_USD_per_GBP*(1+RSU_Price_Change_Pct)^(YEAR($A6)-2030),0)</f>
        <v>0</v>
      </c>
      <c r="E6" s="38">
        <f>IF($A6=EDATE(DATE(2026,8,1),Inputs!$B$9),Inputs!$B$8,0)</f>
        <v>0</v>
      </c>
      <c r="F6" s="38">
        <f>IF($A6=EDATE(DATE(2026,8,1),Inputs!$B$11),Inputs!$B$10,0)</f>
        <v>0</v>
      </c>
      <c r="G6" s="38">
        <f>IF(Inputs!$B$16=1,((IF(YEAR($A6)=2026,Inputs!$B$2,IF(YEAR($A6)=2027,IF(MONTH($A6)&gt;=Inputs!#REF!,Inputs!$B$2*(1+Inputs!$B$4),Inputs!$B$2),IF(YEAR($A6)=2028,IF(MONTH($A6)&gt;=Inputs!#REF!,Inputs!$B$2*(1+Inputs!$B$4)*(1+Inputs!$B$5),Inputs!$B$2*(1+Inputs!$B$4)),IF(YEAR($A6)=2029,IF(MONTH($A6)&gt;=Inputs!#REF!,Inputs!$B$2*(1+Inputs!$B$4)*(1+Inputs!$B$5)*(1+Inputs!$B$6),Inputs!$B$2*(1+Inputs!$B$4)*(1+Inputs!$B$5)),IF(MONTH($A6)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6" s="38">
        <f t="shared" si="2"/>
        <v>4166.666666666667</v>
      </c>
      <c r="I6" s="31">
        <f t="shared" si="3"/>
        <v>3293.34</v>
      </c>
      <c r="J6" s="29">
        <f t="shared" si="4"/>
        <v>623.83333333333348</v>
      </c>
      <c r="K6" s="29">
        <f t="shared" si="5"/>
        <v>249.49333333333337</v>
      </c>
      <c r="L6">
        <f t="shared" si="6"/>
        <v>0.08</v>
      </c>
      <c r="M6" s="44" t="s">
        <v>110</v>
      </c>
      <c r="N6" s="31">
        <f>SUM(I2:I6)</f>
        <v>20162.02</v>
      </c>
      <c r="O6" s="54"/>
    </row>
    <row r="7" spans="1:15" ht="18" customHeight="1" thickTop="1" x14ac:dyDescent="0.3">
      <c r="A7" s="35">
        <v>46388</v>
      </c>
      <c r="B7" s="36">
        <f t="shared" si="0"/>
        <v>4166.666666666667</v>
      </c>
      <c r="C7" s="40">
        <f t="shared" si="1"/>
        <v>0</v>
      </c>
      <c r="D7" s="36">
        <f>IF(OR($A7=DATE(2027,9,1),$A7=EDATE(DATE(2027,9,1),12),$A7=EDATE(DATE(2027,9,1),24)),(New_Hire_Stock_Grant_USD/3)/FX_USD_per_GBP*(1+IF(YEAR($A7)=2027,Inputs!$B$56,IF(YEAR($A7)=2028,Inputs!$B$57,IF(YEAR($A7)=2029,Inputs!$B$58,0)))),0)+IF(OR($A7=DATE(2028,11,1),$A7=DATE(2029,11,1),$A7=DATE(2030,11,1)),(RSU_Grant_Nov2027_USD/3)/FX_USD_per_GBP*(1+RSU_Price_Change_Pct)^(YEAR($A7)-2028),0)+IF(OR($A7=DATE(2029,11,1),$A7=DATE(2030,11,1)),(RSU_Grant_Nov2028_USD/3)/FX_USD_per_GBP*(1+RSU_Price_Change_Pct)^(YEAR($A7)-2029),0)+IF($A7=DATE(2030,11,1),(RSU_Grant_Nov2029_USD/3)/FX_USD_per_GBP*(1+RSU_Price_Change_Pct)^(YEAR($A7)-2030),0)</f>
        <v>0</v>
      </c>
      <c r="E7" s="36">
        <f>IF($A7=EDATE(DATE(2026,8,1),Inputs!$B$9),Inputs!$B$8,0)</f>
        <v>0</v>
      </c>
      <c r="F7" s="36">
        <f>IF($A7=EDATE(DATE(2026,8,1),Inputs!$B$11),Inputs!$B$10,0)</f>
        <v>0</v>
      </c>
      <c r="G7" s="36">
        <f>IF(Inputs!$B$16=1,((IF(YEAR($A7)=2026,Inputs!$B$2,IF(YEAR($A7)=2027,IF(MONTH($A7)&gt;=Inputs!#REF!,Inputs!$B$2*(1+Inputs!$B$4),Inputs!$B$2),IF(YEAR($A7)=2028,IF(MONTH($A7)&gt;=Inputs!#REF!,Inputs!$B$2*(1+Inputs!$B$4)*(1+Inputs!$B$5),Inputs!$B$2*(1+Inputs!$B$4)),IF(YEAR($A7)=2029,IF(MONTH($A7)&gt;=Inputs!#REF!,Inputs!$B$2*(1+Inputs!$B$4)*(1+Inputs!$B$5)*(1+Inputs!$B$6),Inputs!$B$2*(1+Inputs!$B$4)*(1+Inputs!$B$5)),IF(MONTH($A7)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7" s="36">
        <f t="shared" si="2"/>
        <v>4166.666666666667</v>
      </c>
      <c r="I7" s="31">
        <f t="shared" si="3"/>
        <v>3293.34</v>
      </c>
      <c r="J7" s="29">
        <f t="shared" si="4"/>
        <v>623.83333333333348</v>
      </c>
      <c r="K7" s="29">
        <f t="shared" si="5"/>
        <v>249.49333333333337</v>
      </c>
      <c r="L7">
        <f t="shared" si="6"/>
        <v>0.08</v>
      </c>
      <c r="M7" s="44" t="s">
        <v>111</v>
      </c>
      <c r="N7" s="31">
        <f>SUM(I7:I18)</f>
        <v>46820.525882352951</v>
      </c>
      <c r="O7" s="54"/>
    </row>
    <row r="8" spans="1:15" ht="18" customHeight="1" x14ac:dyDescent="0.3">
      <c r="A8" s="35">
        <v>46419</v>
      </c>
      <c r="B8" s="36">
        <f t="shared" si="0"/>
        <v>4166.666666666667</v>
      </c>
      <c r="C8" s="36">
        <f t="shared" si="1"/>
        <v>0</v>
      </c>
      <c r="D8" s="36">
        <f>IF(OR($A8=DATE(2027,9,1),$A8=EDATE(DATE(2027,9,1),12),$A8=EDATE(DATE(2027,9,1),24)),(New_Hire_Stock_Grant_USD/3)/FX_USD_per_GBP*(1+IF(YEAR($A8)=2027,Inputs!$B$56,IF(YEAR($A8)=2028,Inputs!$B$57,IF(YEAR($A8)=2029,Inputs!$B$58,0)))),0)+IF(OR($A8=DATE(2028,11,1),$A8=DATE(2029,11,1),$A8=DATE(2030,11,1)),(RSU_Grant_Nov2027_USD/3)/FX_USD_per_GBP*(1+RSU_Price_Change_Pct)^(YEAR($A8)-2028),0)+IF(OR($A8=DATE(2029,11,1),$A8=DATE(2030,11,1)),(RSU_Grant_Nov2028_USD/3)/FX_USD_per_GBP*(1+RSU_Price_Change_Pct)^(YEAR($A8)-2029),0)+IF($A8=DATE(2030,11,1),(RSU_Grant_Nov2029_USD/3)/FX_USD_per_GBP*(1+RSU_Price_Change_Pct)^(YEAR($A8)-2030),0)</f>
        <v>0</v>
      </c>
      <c r="E8" s="36">
        <f>IF($A8=EDATE(DATE(2026,8,1),Inputs!$B$9),Inputs!$B$8,0)</f>
        <v>0</v>
      </c>
      <c r="F8" s="36">
        <f>IF($A8=EDATE(DATE(2026,8,1),Inputs!$B$11),Inputs!$B$10,0)</f>
        <v>0</v>
      </c>
      <c r="G8" s="36">
        <f>IF(Inputs!$B$16=1,((IF(YEAR($A8)=2026,Inputs!$B$2,IF(YEAR($A8)=2027,IF(MONTH($A8)&gt;=Inputs!#REF!,Inputs!$B$2*(1+Inputs!$B$4),Inputs!$B$2),IF(YEAR($A8)=2028,IF(MONTH($A8)&gt;=Inputs!#REF!,Inputs!$B$2*(1+Inputs!$B$4)*(1+Inputs!$B$5),Inputs!$B$2*(1+Inputs!$B$4)),IF(YEAR($A8)=2029,IF(MONTH($A8)&gt;=Inputs!#REF!,Inputs!$B$2*(1+Inputs!$B$4)*(1+Inputs!$B$5)*(1+Inputs!$B$6),Inputs!$B$2*(1+Inputs!$B$4)*(1+Inputs!$B$5)),IF(MONTH($A8)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8" s="36">
        <f t="shared" si="2"/>
        <v>4166.666666666667</v>
      </c>
      <c r="I8" s="31">
        <f t="shared" si="3"/>
        <v>3293.3400000000011</v>
      </c>
      <c r="J8" s="29">
        <f t="shared" si="4"/>
        <v>623.83333333333258</v>
      </c>
      <c r="K8" s="29">
        <f t="shared" si="5"/>
        <v>249.49333333333337</v>
      </c>
      <c r="L8">
        <f t="shared" si="6"/>
        <v>0.08</v>
      </c>
      <c r="M8" s="44" t="s">
        <v>112</v>
      </c>
      <c r="N8" s="31">
        <f>SUM(I19:I30)</f>
        <v>48020.970632352946</v>
      </c>
      <c r="O8" s="54"/>
    </row>
    <row r="9" spans="1:15" x14ac:dyDescent="0.3">
      <c r="A9" s="35">
        <v>46447</v>
      </c>
      <c r="B9" s="36">
        <f t="shared" si="0"/>
        <v>4166.666666666667</v>
      </c>
      <c r="C9" s="36">
        <f t="shared" si="1"/>
        <v>0</v>
      </c>
      <c r="D9" s="36">
        <f>IF(OR($A9=DATE(2027,9,1),$A9=EDATE(DATE(2027,9,1),12),$A9=EDATE(DATE(2027,9,1),24)),(New_Hire_Stock_Grant_USD/3)/FX_USD_per_GBP*(1+IF(YEAR($A9)=2027,Inputs!$B$56,IF(YEAR($A9)=2028,Inputs!$B$57,IF(YEAR($A9)=2029,Inputs!$B$58,0)))),0)+IF(OR($A9=DATE(2028,11,1),$A9=DATE(2029,11,1),$A9=DATE(2030,11,1)),(RSU_Grant_Nov2027_USD/3)/FX_USD_per_GBP*(1+RSU_Price_Change_Pct)^(YEAR($A9)-2028),0)+IF(OR($A9=DATE(2029,11,1),$A9=DATE(2030,11,1)),(RSU_Grant_Nov2028_USD/3)/FX_USD_per_GBP*(1+RSU_Price_Change_Pct)^(YEAR($A9)-2029),0)+IF($A9=DATE(2030,11,1),(RSU_Grant_Nov2029_USD/3)/FX_USD_per_GBP*(1+RSU_Price_Change_Pct)^(YEAR($A9)-2030),0)</f>
        <v>0</v>
      </c>
      <c r="E9" s="36">
        <f>IF($A9=EDATE(DATE(2026,8,1),Inputs!$B$9),Inputs!$B$8,0)</f>
        <v>0</v>
      </c>
      <c r="F9" s="36">
        <f>IF($A9=EDATE(DATE(2026,8,1),Inputs!$B$11),Inputs!$B$10,0)</f>
        <v>0</v>
      </c>
      <c r="G9" s="36">
        <f>IF(Inputs!$B$16=1,((IF(YEAR($A9)=2026,Inputs!$B$2,IF(YEAR($A9)=2027,IF(MONTH($A9)&gt;=Inputs!#REF!,Inputs!$B$2*(1+Inputs!$B$4),Inputs!$B$2),IF(YEAR($A9)=2028,IF(MONTH($A9)&gt;=Inputs!#REF!,Inputs!$B$2*(1+Inputs!$B$4)*(1+Inputs!$B$5),Inputs!$B$2*(1+Inputs!$B$4)),IF(YEAR($A9)=2029,IF(MONTH($A9)&gt;=Inputs!#REF!,Inputs!$B$2*(1+Inputs!$B$4)*(1+Inputs!$B$5)*(1+Inputs!$B$6),Inputs!$B$2*(1+Inputs!$B$4)*(1+Inputs!$B$5)),IF(MONTH($A9)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9" s="36">
        <f t="shared" si="2"/>
        <v>4166.666666666667</v>
      </c>
      <c r="I9" s="31">
        <f t="shared" si="3"/>
        <v>3293.3400000000006</v>
      </c>
      <c r="J9" s="29">
        <f t="shared" si="4"/>
        <v>623.83333333333303</v>
      </c>
      <c r="K9" s="29">
        <f t="shared" si="5"/>
        <v>249.49333333333337</v>
      </c>
      <c r="L9">
        <f t="shared" si="6"/>
        <v>0.08</v>
      </c>
      <c r="M9" s="44" t="s">
        <v>113</v>
      </c>
      <c r="N9" s="31">
        <f>SUM(I31:I42)</f>
        <v>50441.235174352936</v>
      </c>
      <c r="O9" s="54"/>
    </row>
    <row r="10" spans="1:15" ht="18" customHeight="1" x14ac:dyDescent="0.3">
      <c r="A10" s="35">
        <v>46478</v>
      </c>
      <c r="B10" s="36">
        <f t="shared" si="0"/>
        <v>4291.666666666667</v>
      </c>
      <c r="C10" s="36">
        <f t="shared" si="1"/>
        <v>0</v>
      </c>
      <c r="D10" s="36">
        <f>IF(OR($A10=DATE(2027,9,1),$A10=EDATE(DATE(2027,9,1),12),$A10=EDATE(DATE(2027,9,1),24)),(New_Hire_Stock_Grant_USD/3)/FX_USD_per_GBP*(1+IF(YEAR($A10)=2027,Inputs!$B$56,IF(YEAR($A10)=2028,Inputs!$B$57,IF(YEAR($A10)=2029,Inputs!$B$58,0)))),0)+IF(OR($A10=DATE(2028,11,1),$A10=DATE(2029,11,1),$A10=DATE(2030,11,1)),(RSU_Grant_Nov2027_USD/3)/FX_USD_per_GBP*(1+RSU_Price_Change_Pct)^(YEAR($A10)-2028),0)+IF(OR($A10=DATE(2029,11,1),$A10=DATE(2030,11,1)),(RSU_Grant_Nov2028_USD/3)/FX_USD_per_GBP*(1+RSU_Price_Change_Pct)^(YEAR($A10)-2029),0)+IF($A10=DATE(2030,11,1),(RSU_Grant_Nov2029_USD/3)/FX_USD_per_GBP*(1+RSU_Price_Change_Pct)^(YEAR($A10)-2030),0)</f>
        <v>0</v>
      </c>
      <c r="E10" s="36">
        <f>IF($A10=EDATE(DATE(2026,8,1),Inputs!$B$9),Inputs!$B$8,0)</f>
        <v>0</v>
      </c>
      <c r="F10" s="36">
        <f>IF($A10=EDATE(DATE(2026,8,1),Inputs!$B$11),Inputs!$B$10,0)</f>
        <v>0</v>
      </c>
      <c r="G10" s="36">
        <f>IF(Inputs!$B$16=1,((IF(YEAR($A10)=2026,Inputs!$B$2,IF(YEAR($A10)=2027,IF(MONTH($A10)&gt;=Inputs!#REF!,Inputs!$B$2*(1+Inputs!$B$4),Inputs!$B$2),IF(YEAR($A10)=2028,IF(MONTH($A10)&gt;=Inputs!#REF!,Inputs!$B$2*(1+Inputs!$B$4)*(1+Inputs!$B$5),Inputs!$B$2*(1+Inputs!$B$4)),IF(YEAR($A10)=2029,IF(MONTH($A10)&gt;=Inputs!#REF!,Inputs!$B$2*(1+Inputs!$B$4)*(1+Inputs!$B$5)*(1+Inputs!$B$6),Inputs!$B$2*(1+Inputs!$B$4)*(1+Inputs!$B$5)),IF(MONTH($A10)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0" s="36">
        <f t="shared" si="2"/>
        <v>4291.666666666667</v>
      </c>
      <c r="I10" s="31">
        <f t="shared" si="3"/>
        <v>3369</v>
      </c>
      <c r="J10" s="29">
        <f t="shared" si="4"/>
        <v>669.3333333333336</v>
      </c>
      <c r="K10" s="29">
        <f t="shared" si="5"/>
        <v>253.33333333333334</v>
      </c>
      <c r="L10">
        <f t="shared" si="6"/>
        <v>0.08</v>
      </c>
      <c r="M10" s="44" t="s">
        <v>114</v>
      </c>
      <c r="N10" s="31">
        <f>SUM(I43:I54)</f>
        <v>47245.085170760001</v>
      </c>
      <c r="O10" s="54"/>
    </row>
    <row r="11" spans="1:15" ht="18" customHeight="1" x14ac:dyDescent="0.3">
      <c r="A11" s="35">
        <v>46508</v>
      </c>
      <c r="B11" s="36">
        <f t="shared" si="0"/>
        <v>4291.666666666667</v>
      </c>
      <c r="C11" s="36">
        <f t="shared" si="1"/>
        <v>2000</v>
      </c>
      <c r="D11" s="36">
        <f>IF(OR($A11=DATE(2027,9,1),$A11=EDATE(DATE(2027,9,1),12),$A11=EDATE(DATE(2027,9,1),24)),(New_Hire_Stock_Grant_USD/3)/FX_USD_per_GBP*(1+IF(YEAR($A11)=2027,Inputs!$B$56,IF(YEAR($A11)=2028,Inputs!$B$57,IF(YEAR($A11)=2029,Inputs!$B$58,0)))),0)+IF(OR($A11=DATE(2028,11,1),$A11=DATE(2029,11,1),$A11=DATE(2030,11,1)),(RSU_Grant_Nov2027_USD/3)/FX_USD_per_GBP*(1+RSU_Price_Change_Pct)^(YEAR($A11)-2028),0)+IF(OR($A11=DATE(2029,11,1),$A11=DATE(2030,11,1)),(RSU_Grant_Nov2028_USD/3)/FX_USD_per_GBP*(1+RSU_Price_Change_Pct)^(YEAR($A11)-2029),0)+IF($A11=DATE(2030,11,1),(RSU_Grant_Nov2029_USD/3)/FX_USD_per_GBP*(1+RSU_Price_Change_Pct)^(YEAR($A11)-2030),0)</f>
        <v>0</v>
      </c>
      <c r="E11" s="36">
        <f>IF($A11=EDATE(DATE(2026,8,1),Inputs!$B$9),Inputs!$B$8,0)</f>
        <v>0</v>
      </c>
      <c r="F11" s="36">
        <f>IF($A11=EDATE(DATE(2026,8,1),Inputs!$B$11),Inputs!$B$10,0)</f>
        <v>0</v>
      </c>
      <c r="G11" s="36">
        <f>IF(Inputs!$B$16=1,((IF(YEAR($A11)=2026,Inputs!$B$2,IF(YEAR($A11)=2027,IF(MONTH($A11)&gt;=Inputs!#REF!,Inputs!$B$2*(1+Inputs!$B$4),Inputs!$B$2),IF(YEAR($A11)=2028,IF(MONTH($A11)&gt;=Inputs!#REF!,Inputs!$B$2*(1+Inputs!$B$4)*(1+Inputs!$B$5),Inputs!$B$2*(1+Inputs!$B$4)),IF(YEAR($A11)=2029,IF(MONTH($A11)&gt;=Inputs!#REF!,Inputs!$B$2*(1+Inputs!$B$4)*(1+Inputs!$B$5)*(1+Inputs!$B$6),Inputs!$B$2*(1+Inputs!$B$4)*(1+Inputs!$B$5)),IF(MONTH($A11)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1" s="36">
        <f t="shared" si="2"/>
        <v>6291.666666666667</v>
      </c>
      <c r="I11" s="31">
        <f t="shared" si="3"/>
        <v>4529.0000000000009</v>
      </c>
      <c r="J11" s="29">
        <f t="shared" si="4"/>
        <v>1469.3333333333335</v>
      </c>
      <c r="K11" s="29">
        <f t="shared" si="5"/>
        <v>293.33333333333337</v>
      </c>
      <c r="L11">
        <f t="shared" si="6"/>
        <v>0.08</v>
      </c>
      <c r="M11" s="32"/>
      <c r="N11" s="31"/>
    </row>
    <row r="12" spans="1:15" ht="18" customHeight="1" x14ac:dyDescent="0.3">
      <c r="A12" s="35">
        <v>46539</v>
      </c>
      <c r="B12" s="36">
        <f t="shared" si="0"/>
        <v>4291.666666666667</v>
      </c>
      <c r="C12" s="36">
        <f t="shared" si="1"/>
        <v>0</v>
      </c>
      <c r="D12" s="36">
        <f>IF(OR($A12=DATE(2027,9,1),$A12=EDATE(DATE(2027,9,1),12),$A12=EDATE(DATE(2027,9,1),24)),(New_Hire_Stock_Grant_USD/3)/FX_USD_per_GBP*(1+IF(YEAR($A12)=2027,Inputs!$B$56,IF(YEAR($A12)=2028,Inputs!$B$57,IF(YEAR($A12)=2029,Inputs!$B$58,0)))),0)+IF(OR($A12=DATE(2028,11,1),$A12=DATE(2029,11,1),$A12=DATE(2030,11,1)),(RSU_Grant_Nov2027_USD/3)/FX_USD_per_GBP*(1+RSU_Price_Change_Pct)^(YEAR($A12)-2028),0)+IF(OR($A12=DATE(2029,11,1),$A12=DATE(2030,11,1)),(RSU_Grant_Nov2028_USD/3)/FX_USD_per_GBP*(1+RSU_Price_Change_Pct)^(YEAR($A12)-2029),0)+IF($A12=DATE(2030,11,1),(RSU_Grant_Nov2029_USD/3)/FX_USD_per_GBP*(1+RSU_Price_Change_Pct)^(YEAR($A12)-2030),0)</f>
        <v>0</v>
      </c>
      <c r="E12" s="36">
        <f>IF($A12=EDATE(DATE(2026,8,1),Inputs!$B$9),Inputs!$B$8,0)</f>
        <v>0</v>
      </c>
      <c r="F12" s="36">
        <f>IF($A12=EDATE(DATE(2026,8,1),Inputs!$B$11),Inputs!$B$10,0)</f>
        <v>0</v>
      </c>
      <c r="G12" s="36">
        <f>IF(Inputs!$B$16=1,((IF(YEAR($A12)=2026,Inputs!$B$2,IF(YEAR($A12)=2027,IF(MONTH($A12)&gt;=Inputs!#REF!,Inputs!$B$2*(1+Inputs!$B$4),Inputs!$B$2),IF(YEAR($A12)=2028,IF(MONTH($A12)&gt;=Inputs!#REF!,Inputs!$B$2*(1+Inputs!$B$4)*(1+Inputs!$B$5),Inputs!$B$2*(1+Inputs!$B$4)),IF(YEAR($A12)=2029,IF(MONTH($A12)&gt;=Inputs!#REF!,Inputs!$B$2*(1+Inputs!$B$4)*(1+Inputs!$B$5)*(1+Inputs!$B$6),Inputs!$B$2*(1+Inputs!$B$4)*(1+Inputs!$B$5)),IF(MONTH($A12)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2" s="36">
        <f t="shared" si="2"/>
        <v>4291.666666666667</v>
      </c>
      <c r="I12" s="31">
        <f t="shared" si="3"/>
        <v>3369.0000000000005</v>
      </c>
      <c r="J12" s="29">
        <f t="shared" si="4"/>
        <v>669.33333333333303</v>
      </c>
      <c r="K12" s="29">
        <f t="shared" si="5"/>
        <v>253.33333333333334</v>
      </c>
      <c r="L12">
        <f t="shared" si="6"/>
        <v>0.08</v>
      </c>
      <c r="M12" s="44" t="s">
        <v>115</v>
      </c>
      <c r="N12" s="46">
        <f>(N6-Living_Expenses_GBP_Monthly_2026*5)*FX_USD_per_GBP</f>
        <v>11100.347200000002</v>
      </c>
    </row>
    <row r="13" spans="1:15" x14ac:dyDescent="0.3">
      <c r="A13" s="35">
        <v>46569</v>
      </c>
      <c r="B13" s="36">
        <f t="shared" si="0"/>
        <v>4291.666666666667</v>
      </c>
      <c r="C13" s="36">
        <f t="shared" si="1"/>
        <v>0</v>
      </c>
      <c r="D13" s="36">
        <f>IF(OR($A13=DATE(2027,9,1),$A13=EDATE(DATE(2027,9,1),12),$A13=EDATE(DATE(2027,9,1),24)),(New_Hire_Stock_Grant_USD/3)/FX_USD_per_GBP*(1+IF(YEAR($A13)=2027,Inputs!$B$56,IF(YEAR($A13)=2028,Inputs!$B$57,IF(YEAR($A13)=2029,Inputs!$B$58,0)))),0)+IF(OR($A13=DATE(2028,11,1),$A13=DATE(2029,11,1),$A13=DATE(2030,11,1)),(RSU_Grant_Nov2027_USD/3)/FX_USD_per_GBP*(1+RSU_Price_Change_Pct)^(YEAR($A13)-2028),0)+IF(OR($A13=DATE(2029,11,1),$A13=DATE(2030,11,1)),(RSU_Grant_Nov2028_USD/3)/FX_USD_per_GBP*(1+RSU_Price_Change_Pct)^(YEAR($A13)-2029),0)+IF($A13=DATE(2030,11,1),(RSU_Grant_Nov2029_USD/3)/FX_USD_per_GBP*(1+RSU_Price_Change_Pct)^(YEAR($A13)-2030),0)</f>
        <v>0</v>
      </c>
      <c r="E13" s="36">
        <f>IF($A13=EDATE(DATE(2026,8,1),Inputs!$B$9),Inputs!$B$8,0)</f>
        <v>0</v>
      </c>
      <c r="F13" s="36">
        <f>IF($A13=EDATE(DATE(2026,8,1),Inputs!$B$11),Inputs!$B$10,0)</f>
        <v>0</v>
      </c>
      <c r="G13" s="36">
        <f>IF(Inputs!$B$16=1,((IF(YEAR($A13)=2026,Inputs!$B$2,IF(YEAR($A13)=2027,IF(MONTH($A13)&gt;=Inputs!#REF!,Inputs!$B$2*(1+Inputs!$B$4),Inputs!$B$2),IF(YEAR($A13)=2028,IF(MONTH($A13)&gt;=Inputs!#REF!,Inputs!$B$2*(1+Inputs!$B$4)*(1+Inputs!$B$5),Inputs!$B$2*(1+Inputs!$B$4)),IF(YEAR($A13)=2029,IF(MONTH($A13)&gt;=Inputs!#REF!,Inputs!$B$2*(1+Inputs!$B$4)*(1+Inputs!$B$5)*(1+Inputs!$B$6),Inputs!$B$2*(1+Inputs!$B$4)*(1+Inputs!$B$5)),IF(MONTH($A13)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3" s="36">
        <f t="shared" si="2"/>
        <v>4291.666666666667</v>
      </c>
      <c r="I13" s="31">
        <f t="shared" si="3"/>
        <v>3368.9999999999991</v>
      </c>
      <c r="J13" s="29">
        <f t="shared" si="4"/>
        <v>669.33333333333439</v>
      </c>
      <c r="K13" s="29">
        <f t="shared" si="5"/>
        <v>253.33333333333334</v>
      </c>
      <c r="L13">
        <f t="shared" si="6"/>
        <v>0.08</v>
      </c>
      <c r="M13" s="44" t="s">
        <v>116</v>
      </c>
      <c r="N13" s="46">
        <f>(N7-Living_Expenses_GBP_Monthly_2027*12)*FX_USD_per_GBP</f>
        <v>23724.555200000017</v>
      </c>
    </row>
    <row r="14" spans="1:15" ht="18" customHeight="1" x14ac:dyDescent="0.3">
      <c r="A14" s="35">
        <v>46600</v>
      </c>
      <c r="B14" s="36">
        <f t="shared" si="0"/>
        <v>4291.666666666667</v>
      </c>
      <c r="C14" s="36">
        <f t="shared" si="1"/>
        <v>0</v>
      </c>
      <c r="D14" s="36">
        <f>IF(OR($A14=DATE(2027,9,1),$A14=EDATE(DATE(2027,9,1),12),$A14=EDATE(DATE(2027,9,1),24)),(New_Hire_Stock_Grant_USD/3)/FX_USD_per_GBP*(1+IF(YEAR($A14)=2027,Inputs!$B$56,IF(YEAR($A14)=2028,Inputs!$B$57,IF(YEAR($A14)=2029,Inputs!$B$58,0)))),0)+IF(OR($A14=DATE(2028,11,1),$A14=DATE(2029,11,1),$A14=DATE(2030,11,1)),(RSU_Grant_Nov2027_USD/3)/FX_USD_per_GBP*(1+RSU_Price_Change_Pct)^(YEAR($A14)-2028),0)+IF(OR($A14=DATE(2029,11,1),$A14=DATE(2030,11,1)),(RSU_Grant_Nov2028_USD/3)/FX_USD_per_GBP*(1+RSU_Price_Change_Pct)^(YEAR($A14)-2029),0)+IF($A14=DATE(2030,11,1),(RSU_Grant_Nov2029_USD/3)/FX_USD_per_GBP*(1+RSU_Price_Change_Pct)^(YEAR($A14)-2030),0)</f>
        <v>0</v>
      </c>
      <c r="E14" s="36">
        <f>IF($A14=EDATE(DATE(2026,8,1),Inputs!$B$9),Inputs!$B$8,0)</f>
        <v>0</v>
      </c>
      <c r="F14" s="36">
        <f>IF($A14=EDATE(DATE(2026,8,1),Inputs!$B$11),Inputs!$B$10,0)</f>
        <v>0</v>
      </c>
      <c r="G14" s="36">
        <f>IF(Inputs!$B$16=1,((IF(YEAR($A14)=2026,Inputs!$B$2,IF(YEAR($A14)=2027,IF(MONTH($A14)&gt;=Inputs!#REF!,Inputs!$B$2*(1+Inputs!$B$4),Inputs!$B$2),IF(YEAR($A14)=2028,IF(MONTH($A14)&gt;=Inputs!#REF!,Inputs!$B$2*(1+Inputs!$B$4)*(1+Inputs!$B$5),Inputs!$B$2*(1+Inputs!$B$4)),IF(YEAR($A14)=2029,IF(MONTH($A14)&gt;=Inputs!#REF!,Inputs!$B$2*(1+Inputs!$B$4)*(1+Inputs!$B$5)*(1+Inputs!$B$6),Inputs!$B$2*(1+Inputs!$B$4)*(1+Inputs!$B$5)),IF(MONTH($A14)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4" s="36">
        <f t="shared" si="2"/>
        <v>4291.666666666667</v>
      </c>
      <c r="I14" s="31">
        <f t="shared" si="3"/>
        <v>3369</v>
      </c>
      <c r="J14" s="29">
        <f t="shared" si="4"/>
        <v>669.33333333333348</v>
      </c>
      <c r="K14" s="29">
        <f t="shared" si="5"/>
        <v>253.33333333333334</v>
      </c>
      <c r="L14">
        <f t="shared" si="6"/>
        <v>0.08</v>
      </c>
      <c r="M14" s="44" t="s">
        <v>117</v>
      </c>
      <c r="N14" s="46">
        <f>(N8-Living_Expenses_GBP_Monthly_2028*12)*FX_USD_per_GBP</f>
        <v>24558.132860000009</v>
      </c>
    </row>
    <row r="15" spans="1:15" ht="18" customHeight="1" x14ac:dyDescent="0.3">
      <c r="A15" s="35">
        <v>46631</v>
      </c>
      <c r="B15" s="36">
        <f t="shared" si="0"/>
        <v>4291.666666666667</v>
      </c>
      <c r="C15" s="36">
        <f t="shared" si="1"/>
        <v>0</v>
      </c>
      <c r="D15" s="36">
        <f>IF(OR($A15=DATE(2027,9,1),$A15=EDATE(DATE(2027,9,1),12),$A15=EDATE(DATE(2027,9,1),24)),(New_Hire_Stock_Grant_USD/3)/FX_USD_per_GBP*(1+IF(YEAR($A15)=2027,Inputs!$B$56,IF(YEAR($A15)=2028,Inputs!$B$57,IF(YEAR($A15)=2029,Inputs!$B$58,0)))),0)+IF(OR($A15=DATE(2028,11,1),$A15=DATE(2029,11,1),$A15=DATE(2030,11,1)),(RSU_Grant_Nov2027_USD/3)/FX_USD_per_GBP*(1+RSU_Price_Change_Pct)^(YEAR($A15)-2028),0)+IF(OR($A15=DATE(2029,11,1),$A15=DATE(2030,11,1)),(RSU_Grant_Nov2028_USD/3)/FX_USD_per_GBP*(1+RSU_Price_Change_Pct)^(YEAR($A15)-2029),0)+IF($A15=DATE(2030,11,1),(RSU_Grant_Nov2029_USD/3)/FX_USD_per_GBP*(1+RSU_Price_Change_Pct)^(YEAR($A15)-2030),0)</f>
        <v>7352.9411764705874</v>
      </c>
      <c r="E15" s="36">
        <f>IF($A15=EDATE(DATE(2026,8,1),Inputs!$B$9),Inputs!$B$8,0)</f>
        <v>0</v>
      </c>
      <c r="F15" s="36">
        <f>IF($A15=EDATE(DATE(2026,8,1),Inputs!$B$11),Inputs!$B$10,0)</f>
        <v>0</v>
      </c>
      <c r="G15" s="36">
        <f>IF(Inputs!$B$16=1,((IF(YEAR($A15)=2026,Inputs!$B$2,IF(YEAR($A15)=2027,IF(MONTH($A15)&gt;=Inputs!#REF!,Inputs!$B$2*(1+Inputs!$B$4),Inputs!$B$2),IF(YEAR($A15)=2028,IF(MONTH($A15)&gt;=Inputs!#REF!,Inputs!$B$2*(1+Inputs!$B$4)*(1+Inputs!$B$5),Inputs!$B$2*(1+Inputs!$B$4)),IF(YEAR($A15)=2029,IF(MONTH($A15)&gt;=Inputs!#REF!,Inputs!$B$2*(1+Inputs!$B$4)*(1+Inputs!$B$5)*(1+Inputs!$B$6),Inputs!$B$2*(1+Inputs!$B$4)*(1+Inputs!$B$5)),IF(MONTH($A15)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5" s="36">
        <f t="shared" si="2"/>
        <v>11644.607843137255</v>
      </c>
      <c r="I15" s="31">
        <f t="shared" si="3"/>
        <v>7633.7058823529433</v>
      </c>
      <c r="J15" s="29">
        <f t="shared" si="4"/>
        <v>3610.5098039215673</v>
      </c>
      <c r="K15" s="29">
        <f t="shared" si="5"/>
        <v>400.39215686274508</v>
      </c>
      <c r="L15">
        <f t="shared" si="6"/>
        <v>0.08</v>
      </c>
      <c r="M15" s="44" t="s">
        <v>118</v>
      </c>
      <c r="N15" s="46">
        <f>(N9-Living_Expenses_GBP_Monthly_2029*12)*FX_USD_per_GBP</f>
        <v>27034.684893119989</v>
      </c>
    </row>
    <row r="16" spans="1:15" ht="18" customHeight="1" x14ac:dyDescent="0.3">
      <c r="A16" s="35">
        <v>46661</v>
      </c>
      <c r="B16" s="36">
        <f t="shared" si="0"/>
        <v>4291.666666666667</v>
      </c>
      <c r="C16" s="36">
        <f t="shared" si="1"/>
        <v>0</v>
      </c>
      <c r="D16" s="36">
        <f>IF(OR($A16=DATE(2027,9,1),$A16=EDATE(DATE(2027,9,1),12),$A16=EDATE(DATE(2027,9,1),24)),(New_Hire_Stock_Grant_USD/3)/FX_USD_per_GBP*(1+IF(YEAR($A16)=2027,Inputs!$B$56,IF(YEAR($A16)=2028,Inputs!$B$57,IF(YEAR($A16)=2029,Inputs!$B$58,0)))),0)+IF(OR($A16=DATE(2028,11,1),$A16=DATE(2029,11,1),$A16=DATE(2030,11,1)),(RSU_Grant_Nov2027_USD/3)/FX_USD_per_GBP*(1+RSU_Price_Change_Pct)^(YEAR($A16)-2028),0)+IF(OR($A16=DATE(2029,11,1),$A16=DATE(2030,11,1)),(RSU_Grant_Nov2028_USD/3)/FX_USD_per_GBP*(1+RSU_Price_Change_Pct)^(YEAR($A16)-2029),0)+IF($A16=DATE(2030,11,1),(RSU_Grant_Nov2029_USD/3)/FX_USD_per_GBP*(1+RSU_Price_Change_Pct)^(YEAR($A16)-2030),0)</f>
        <v>0</v>
      </c>
      <c r="E16" s="36">
        <f>IF($A16=EDATE(DATE(2026,8,1),Inputs!$B$9),Inputs!$B$8,0)</f>
        <v>0</v>
      </c>
      <c r="F16" s="36">
        <f>IF($A16=EDATE(DATE(2026,8,1),Inputs!$B$11),Inputs!$B$10,0)</f>
        <v>0</v>
      </c>
      <c r="G16" s="36">
        <f>IF(Inputs!$B$16=1,((IF(YEAR($A16)=2026,Inputs!$B$2,IF(YEAR($A16)=2027,IF(MONTH($A16)&gt;=Inputs!#REF!,Inputs!$B$2*(1+Inputs!$B$4),Inputs!$B$2),IF(YEAR($A16)=2028,IF(MONTH($A16)&gt;=Inputs!#REF!,Inputs!$B$2*(1+Inputs!$B$4)*(1+Inputs!$B$5),Inputs!$B$2*(1+Inputs!$B$4)),IF(YEAR($A16)=2029,IF(MONTH($A16)&gt;=Inputs!#REF!,Inputs!$B$2*(1+Inputs!$B$4)*(1+Inputs!$B$5)*(1+Inputs!$B$6),Inputs!$B$2*(1+Inputs!$B$4)*(1+Inputs!$B$5)),IF(MONTH($A16)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6" s="36">
        <f t="shared" si="2"/>
        <v>4291.666666666667</v>
      </c>
      <c r="I16" s="31">
        <f t="shared" si="3"/>
        <v>3369.0000000000005</v>
      </c>
      <c r="J16" s="29">
        <f t="shared" si="4"/>
        <v>669.33333333333303</v>
      </c>
      <c r="K16" s="29">
        <f t="shared" si="5"/>
        <v>253.33333333333334</v>
      </c>
      <c r="L16">
        <f t="shared" si="6"/>
        <v>0.08</v>
      </c>
      <c r="M16" s="44" t="s">
        <v>119</v>
      </c>
      <c r="N16" s="46">
        <f>(N10-Living_Expenses_GBP_Monthly_2030*12)*FX_USD_per_GBP</f>
        <v>21856.612989353594</v>
      </c>
    </row>
    <row r="17" spans="1:14" x14ac:dyDescent="0.3">
      <c r="A17" s="35">
        <v>46692</v>
      </c>
      <c r="B17" s="36">
        <f t="shared" si="0"/>
        <v>4291.666666666667</v>
      </c>
      <c r="C17" s="36">
        <f t="shared" si="1"/>
        <v>2060</v>
      </c>
      <c r="D17" s="36">
        <f>IF(OR($A17=DATE(2027,9,1),$A17=EDATE(DATE(2027,9,1),12),$A17=EDATE(DATE(2027,9,1),24)),(New_Hire_Stock_Grant_USD/3)/FX_USD_per_GBP*(1+IF(YEAR($A17)=2027,Inputs!$B$56,IF(YEAR($A17)=2028,Inputs!$B$57,IF(YEAR($A17)=2029,Inputs!$B$58,0)))),0)+IF(OR($A17=DATE(2028,11,1),$A17=DATE(2029,11,1),$A17=DATE(2030,11,1)),(RSU_Grant_Nov2027_USD/3)/FX_USD_per_GBP*(1+RSU_Price_Change_Pct)^(YEAR($A17)-2028),0)+IF(OR($A17=DATE(2029,11,1),$A17=DATE(2030,11,1)),(RSU_Grant_Nov2028_USD/3)/FX_USD_per_GBP*(1+RSU_Price_Change_Pct)^(YEAR($A17)-2029),0)+IF($A17=DATE(2030,11,1),(RSU_Grant_Nov2029_USD/3)/FX_USD_per_GBP*(1+RSU_Price_Change_Pct)^(YEAR($A17)-2030),0)</f>
        <v>0</v>
      </c>
      <c r="E17" s="36">
        <f>IF($A17=EDATE(DATE(2026,8,1),Inputs!$B$9),Inputs!$B$8,0)</f>
        <v>0</v>
      </c>
      <c r="F17" s="36">
        <f>IF($A17=EDATE(DATE(2026,8,1),Inputs!$B$11),Inputs!$B$10,0)</f>
        <v>0</v>
      </c>
      <c r="G17" s="36">
        <f>IF(Inputs!$B$16=1,((IF(YEAR($A17)=2026,Inputs!$B$2,IF(YEAR($A17)=2027,IF(MONTH($A17)&gt;=Inputs!#REF!,Inputs!$B$2*(1+Inputs!$B$4),Inputs!$B$2),IF(YEAR($A17)=2028,IF(MONTH($A17)&gt;=Inputs!#REF!,Inputs!$B$2*(1+Inputs!$B$4)*(1+Inputs!$B$5),Inputs!$B$2*(1+Inputs!$B$4)),IF(YEAR($A17)=2029,IF(MONTH($A17)&gt;=Inputs!#REF!,Inputs!$B$2*(1+Inputs!$B$4)*(1+Inputs!$B$5)*(1+Inputs!$B$6),Inputs!$B$2*(1+Inputs!$B$4)*(1+Inputs!$B$5)),IF(MONTH($A17)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7" s="36">
        <f t="shared" si="2"/>
        <v>6351.666666666667</v>
      </c>
      <c r="I17" s="31">
        <f t="shared" si="3"/>
        <v>4563.8000000000011</v>
      </c>
      <c r="J17" s="29">
        <f t="shared" si="4"/>
        <v>1493.3333333333321</v>
      </c>
      <c r="K17" s="29">
        <f t="shared" si="5"/>
        <v>294.53333333333336</v>
      </c>
      <c r="L17">
        <f t="shared" si="6"/>
        <v>0.08</v>
      </c>
      <c r="M17" s="32"/>
      <c r="N17" s="46"/>
    </row>
    <row r="18" spans="1:14" ht="18" customHeight="1" thickBot="1" x14ac:dyDescent="0.35">
      <c r="A18" s="37">
        <v>46722</v>
      </c>
      <c r="B18" s="38">
        <f t="shared" si="0"/>
        <v>4291.666666666667</v>
      </c>
      <c r="C18" s="39">
        <f t="shared" si="1"/>
        <v>0</v>
      </c>
      <c r="D18" s="38">
        <f>IF(OR($A18=DATE(2027,9,1),$A18=EDATE(DATE(2027,9,1),12),$A18=EDATE(DATE(2027,9,1),24)),(New_Hire_Stock_Grant_USD/3)/FX_USD_per_GBP*(1+IF(YEAR($A18)=2027,Inputs!$B$56,IF(YEAR($A18)=2028,Inputs!$B$57,IF(YEAR($A18)=2029,Inputs!$B$58,0)))),0)+IF(OR($A18=DATE(2028,11,1),$A18=DATE(2029,11,1),$A18=DATE(2030,11,1)),(RSU_Grant_Nov2027_USD/3)/FX_USD_per_GBP*(1+RSU_Price_Change_Pct)^(YEAR($A18)-2028),0)+IF(OR($A18=DATE(2029,11,1),$A18=DATE(2030,11,1)),(RSU_Grant_Nov2028_USD/3)/FX_USD_per_GBP*(1+RSU_Price_Change_Pct)^(YEAR($A18)-2029),0)+IF($A18=DATE(2030,11,1),(RSU_Grant_Nov2029_USD/3)/FX_USD_per_GBP*(1+RSU_Price_Change_Pct)^(YEAR($A18)-2030),0)</f>
        <v>0</v>
      </c>
      <c r="E18" s="38">
        <f>IF($A18=EDATE(DATE(2026,8,1),Inputs!$B$9),Inputs!$B$8,0)</f>
        <v>0</v>
      </c>
      <c r="F18" s="38">
        <f>IF($A18=EDATE(DATE(2026,8,1),Inputs!$B$11),Inputs!$B$10,0)</f>
        <v>0</v>
      </c>
      <c r="G18" s="38">
        <f>IF(Inputs!$B$16=1,((IF(YEAR($A18)=2026,Inputs!$B$2,IF(YEAR($A18)=2027,IF(MONTH($A18)&gt;=Inputs!#REF!,Inputs!$B$2*(1+Inputs!$B$4),Inputs!$B$2),IF(YEAR($A18)=2028,IF(MONTH($A18)&gt;=Inputs!#REF!,Inputs!$B$2*(1+Inputs!$B$4)*(1+Inputs!$B$5),Inputs!$B$2*(1+Inputs!$B$4)),IF(YEAR($A18)=2029,IF(MONTH($A18)&gt;=Inputs!#REF!,Inputs!$B$2*(1+Inputs!$B$4)*(1+Inputs!$B$5)*(1+Inputs!$B$6),Inputs!$B$2*(1+Inputs!$B$4)*(1+Inputs!$B$5)),IF(MONTH($A18)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8" s="38">
        <f t="shared" si="2"/>
        <v>4291.666666666667</v>
      </c>
      <c r="I18" s="31">
        <f t="shared" si="3"/>
        <v>3369.0000000000014</v>
      </c>
      <c r="J18" s="29">
        <f t="shared" si="4"/>
        <v>669.33333333333212</v>
      </c>
      <c r="K18" s="29">
        <f t="shared" si="5"/>
        <v>253.33333333333334</v>
      </c>
      <c r="L18">
        <f t="shared" si="6"/>
        <v>0.08</v>
      </c>
      <c r="M18" s="44" t="s">
        <v>120</v>
      </c>
      <c r="N18" s="46">
        <f>SUM(N12:N16)</f>
        <v>108274.33314247362</v>
      </c>
    </row>
    <row r="19" spans="1:14" ht="18" customHeight="1" thickTop="1" x14ac:dyDescent="0.3">
      <c r="A19" s="35">
        <v>46753</v>
      </c>
      <c r="B19" s="36">
        <f t="shared" si="0"/>
        <v>4291.666666666667</v>
      </c>
      <c r="C19" s="40">
        <f t="shared" si="1"/>
        <v>0</v>
      </c>
      <c r="D19" s="36">
        <f>IF(OR($A19=DATE(2027,9,1),$A19=EDATE(DATE(2027,9,1),12),$A19=EDATE(DATE(2027,9,1),24)),(New_Hire_Stock_Grant_USD/3)/FX_USD_per_GBP*(1+IF(YEAR($A19)=2027,Inputs!$B$56,IF(YEAR($A19)=2028,Inputs!$B$57,IF(YEAR($A19)=2029,Inputs!$B$58,0)))),0)+IF(OR($A19=DATE(2028,11,1),$A19=DATE(2029,11,1),$A19=DATE(2030,11,1)),(RSU_Grant_Nov2027_USD/3)/FX_USD_per_GBP*(1+RSU_Price_Change_Pct)^(YEAR($A19)-2028),0)+IF(OR($A19=DATE(2029,11,1),$A19=DATE(2030,11,1)),(RSU_Grant_Nov2028_USD/3)/FX_USD_per_GBP*(1+RSU_Price_Change_Pct)^(YEAR($A19)-2029),0)+IF($A19=DATE(2030,11,1),(RSU_Grant_Nov2029_USD/3)/FX_USD_per_GBP*(1+RSU_Price_Change_Pct)^(YEAR($A19)-2030),0)</f>
        <v>0</v>
      </c>
      <c r="E19" s="36">
        <f>IF($A19=EDATE(DATE(2026,8,1),Inputs!$B$9),Inputs!$B$8,0)</f>
        <v>0</v>
      </c>
      <c r="F19" s="36">
        <f>IF($A19=EDATE(DATE(2026,8,1),Inputs!$B$11),Inputs!$B$10,0)</f>
        <v>0</v>
      </c>
      <c r="G19" s="36">
        <f>IF(Inputs!$B$16=1,((IF(YEAR($A19)=2026,Inputs!$B$2,IF(YEAR($A19)=2027,IF(MONTH($A19)&gt;=Inputs!#REF!,Inputs!$B$2*(1+Inputs!$B$4),Inputs!$B$2),IF(YEAR($A19)=2028,IF(MONTH($A19)&gt;=Inputs!#REF!,Inputs!$B$2*(1+Inputs!$B$4)*(1+Inputs!$B$5),Inputs!$B$2*(1+Inputs!$B$4)),IF(YEAR($A19)=2029,IF(MONTH($A19)&gt;=Inputs!#REF!,Inputs!$B$2*(1+Inputs!$B$4)*(1+Inputs!$B$5)*(1+Inputs!$B$6),Inputs!$B$2*(1+Inputs!$B$4)*(1+Inputs!$B$5)),IF(MONTH($A19)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19" s="36">
        <f t="shared" si="2"/>
        <v>4291.666666666667</v>
      </c>
      <c r="I19" s="31">
        <f t="shared" si="3"/>
        <v>3368.9999999999995</v>
      </c>
      <c r="J19" s="29">
        <f t="shared" si="4"/>
        <v>669.33333333333394</v>
      </c>
      <c r="K19" s="29">
        <f t="shared" si="5"/>
        <v>253.33333333333334</v>
      </c>
      <c r="L19">
        <f t="shared" si="6"/>
        <v>0.08</v>
      </c>
    </row>
    <row r="20" spans="1:14" ht="18" customHeight="1" x14ac:dyDescent="0.3">
      <c r="A20" s="35">
        <v>46784</v>
      </c>
      <c r="B20" s="36">
        <f t="shared" si="0"/>
        <v>4291.666666666667</v>
      </c>
      <c r="C20" s="36">
        <f t="shared" si="1"/>
        <v>0</v>
      </c>
      <c r="D20" s="36">
        <f>IF(OR($A20=DATE(2027,9,1),$A20=EDATE(DATE(2027,9,1),12),$A20=EDATE(DATE(2027,9,1),24)),(New_Hire_Stock_Grant_USD/3)/FX_USD_per_GBP*(1+IF(YEAR($A20)=2027,Inputs!$B$56,IF(YEAR($A20)=2028,Inputs!$B$57,IF(YEAR($A20)=2029,Inputs!$B$58,0)))),0)+IF(OR($A20=DATE(2028,11,1),$A20=DATE(2029,11,1),$A20=DATE(2030,11,1)),(RSU_Grant_Nov2027_USD/3)/FX_USD_per_GBP*(1+RSU_Price_Change_Pct)^(YEAR($A20)-2028),0)+IF(OR($A20=DATE(2029,11,1),$A20=DATE(2030,11,1)),(RSU_Grant_Nov2028_USD/3)/FX_USD_per_GBP*(1+RSU_Price_Change_Pct)^(YEAR($A20)-2029),0)+IF($A20=DATE(2030,11,1),(RSU_Grant_Nov2029_USD/3)/FX_USD_per_GBP*(1+RSU_Price_Change_Pct)^(YEAR($A20)-2030),0)</f>
        <v>0</v>
      </c>
      <c r="E20" s="36">
        <f>IF($A20=EDATE(DATE(2026,8,1),Inputs!$B$9),Inputs!$B$8,0)</f>
        <v>0</v>
      </c>
      <c r="F20" s="36">
        <f>IF($A20=EDATE(DATE(2026,8,1),Inputs!$B$11),Inputs!$B$10,0)</f>
        <v>0</v>
      </c>
      <c r="G20" s="36">
        <f>IF(Inputs!$B$16=1,((IF(YEAR($A20)=2026,Inputs!$B$2,IF(YEAR($A20)=2027,IF(MONTH($A20)&gt;=Inputs!#REF!,Inputs!$B$2*(1+Inputs!$B$4),Inputs!$B$2),IF(YEAR($A20)=2028,IF(MONTH($A20)&gt;=Inputs!#REF!,Inputs!$B$2*(1+Inputs!$B$4)*(1+Inputs!$B$5),Inputs!$B$2*(1+Inputs!$B$4)),IF(YEAR($A20)=2029,IF(MONTH($A20)&gt;=Inputs!#REF!,Inputs!$B$2*(1+Inputs!$B$4)*(1+Inputs!$B$5)*(1+Inputs!$B$6),Inputs!$B$2*(1+Inputs!$B$4)*(1+Inputs!$B$5)),IF(MONTH($A20)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0" s="36">
        <f t="shared" si="2"/>
        <v>4291.666666666667</v>
      </c>
      <c r="I20" s="31">
        <f t="shared" si="3"/>
        <v>3369.0000000000014</v>
      </c>
      <c r="J20" s="29">
        <f t="shared" si="4"/>
        <v>669.33333333333212</v>
      </c>
      <c r="K20" s="29">
        <f t="shared" si="5"/>
        <v>253.33333333333334</v>
      </c>
      <c r="L20">
        <f t="shared" si="6"/>
        <v>0.08</v>
      </c>
    </row>
    <row r="21" spans="1:14" x14ac:dyDescent="0.3">
      <c r="A21" s="35">
        <v>46813</v>
      </c>
      <c r="B21" s="36">
        <f t="shared" si="0"/>
        <v>4291.666666666667</v>
      </c>
      <c r="C21" s="36">
        <f t="shared" si="1"/>
        <v>0</v>
      </c>
      <c r="D21" s="36">
        <f>IF(OR($A21=DATE(2027,9,1),$A21=EDATE(DATE(2027,9,1),12),$A21=EDATE(DATE(2027,9,1),24)),(New_Hire_Stock_Grant_USD/3)/FX_USD_per_GBP*(1+IF(YEAR($A21)=2027,Inputs!$B$56,IF(YEAR($A21)=2028,Inputs!$B$57,IF(YEAR($A21)=2029,Inputs!$B$58,0)))),0)+IF(OR($A21=DATE(2028,11,1),$A21=DATE(2029,11,1),$A21=DATE(2030,11,1)),(RSU_Grant_Nov2027_USD/3)/FX_USD_per_GBP*(1+RSU_Price_Change_Pct)^(YEAR($A21)-2028),0)+IF(OR($A21=DATE(2029,11,1),$A21=DATE(2030,11,1)),(RSU_Grant_Nov2028_USD/3)/FX_USD_per_GBP*(1+RSU_Price_Change_Pct)^(YEAR($A21)-2029),0)+IF($A21=DATE(2030,11,1),(RSU_Grant_Nov2029_USD/3)/FX_USD_per_GBP*(1+RSU_Price_Change_Pct)^(YEAR($A21)-2030),0)</f>
        <v>0</v>
      </c>
      <c r="E21" s="36">
        <f>IF($A21=EDATE(DATE(2026,8,1),Inputs!$B$9),Inputs!$B$8,0)</f>
        <v>0</v>
      </c>
      <c r="F21" s="36">
        <f>IF($A21=EDATE(DATE(2026,8,1),Inputs!$B$11),Inputs!$B$10,0)</f>
        <v>0</v>
      </c>
      <c r="G21" s="36">
        <f>IF(Inputs!$B$16=1,((IF(YEAR($A21)=2026,Inputs!$B$2,IF(YEAR($A21)=2027,IF(MONTH($A21)&gt;=Inputs!#REF!,Inputs!$B$2*(1+Inputs!$B$4),Inputs!$B$2),IF(YEAR($A21)=2028,IF(MONTH($A21)&gt;=Inputs!#REF!,Inputs!$B$2*(1+Inputs!$B$4)*(1+Inputs!$B$5),Inputs!$B$2*(1+Inputs!$B$4)),IF(YEAR($A21)=2029,IF(MONTH($A21)&gt;=Inputs!#REF!,Inputs!$B$2*(1+Inputs!$B$4)*(1+Inputs!$B$5)*(1+Inputs!$B$6),Inputs!$B$2*(1+Inputs!$B$4)*(1+Inputs!$B$5)),IF(MONTH($A21)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1" s="36">
        <f t="shared" si="2"/>
        <v>4291.666666666667</v>
      </c>
      <c r="I21" s="31">
        <f t="shared" si="3"/>
        <v>3369.0000000000014</v>
      </c>
      <c r="J21" s="29">
        <f t="shared" si="4"/>
        <v>669.33333333333212</v>
      </c>
      <c r="K21" s="29">
        <f t="shared" si="5"/>
        <v>253.33333333333334</v>
      </c>
      <c r="L21">
        <f t="shared" si="6"/>
        <v>0.08</v>
      </c>
    </row>
    <row r="22" spans="1:14" x14ac:dyDescent="0.3">
      <c r="A22" s="35">
        <v>46844</v>
      </c>
      <c r="B22" s="36">
        <f t="shared" si="0"/>
        <v>4420.416666666667</v>
      </c>
      <c r="C22" s="36">
        <f t="shared" si="1"/>
        <v>0</v>
      </c>
      <c r="D22" s="36">
        <f>IF(OR($A22=DATE(2027,9,1),$A22=EDATE(DATE(2027,9,1),12),$A22=EDATE(DATE(2027,9,1),24)),(New_Hire_Stock_Grant_USD/3)/FX_USD_per_GBP*(1+IF(YEAR($A22)=2027,Inputs!$B$56,IF(YEAR($A22)=2028,Inputs!$B$57,IF(YEAR($A22)=2029,Inputs!$B$58,0)))),0)+IF(OR($A22=DATE(2028,11,1),$A22=DATE(2029,11,1),$A22=DATE(2030,11,1)),(RSU_Grant_Nov2027_USD/3)/FX_USD_per_GBP*(1+RSU_Price_Change_Pct)^(YEAR($A22)-2028),0)+IF(OR($A22=DATE(2029,11,1),$A22=DATE(2030,11,1)),(RSU_Grant_Nov2028_USD/3)/FX_USD_per_GBP*(1+RSU_Price_Change_Pct)^(YEAR($A22)-2029),0)+IF($A22=DATE(2030,11,1),(RSU_Grant_Nov2029_USD/3)/FX_USD_per_GBP*(1+RSU_Price_Change_Pct)^(YEAR($A22)-2030),0)</f>
        <v>0</v>
      </c>
      <c r="E22" s="36">
        <f>IF($A22=EDATE(DATE(2026,8,1),Inputs!$B$9),Inputs!$B$8,0)</f>
        <v>0</v>
      </c>
      <c r="F22" s="36">
        <f>IF($A22=EDATE(DATE(2026,8,1),Inputs!$B$11),Inputs!$B$10,0)</f>
        <v>0</v>
      </c>
      <c r="G22" s="36">
        <f>IF(Inputs!$B$16=1,((IF(YEAR($A22)=2026,Inputs!$B$2,IF(YEAR($A22)=2027,IF(MONTH($A22)&gt;=Inputs!#REF!,Inputs!$B$2*(1+Inputs!$B$4),Inputs!$B$2),IF(YEAR($A22)=2028,IF(MONTH($A22)&gt;=Inputs!#REF!,Inputs!$B$2*(1+Inputs!$B$4)*(1+Inputs!$B$5),Inputs!$B$2*(1+Inputs!$B$4)),IF(YEAR($A22)=2029,IF(MONTH($A22)&gt;=Inputs!#REF!,Inputs!$B$2*(1+Inputs!$B$4)*(1+Inputs!$B$5)*(1+Inputs!$B$6),Inputs!$B$2*(1+Inputs!$B$4)*(1+Inputs!$B$5)),IF(MONTH($A22)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2" s="36">
        <f t="shared" si="2"/>
        <v>4420.416666666667</v>
      </c>
      <c r="I22" s="31">
        <f t="shared" si="3"/>
        <v>3443.6750000000002</v>
      </c>
      <c r="J22" s="29">
        <f t="shared" si="4"/>
        <v>720.8333333333336</v>
      </c>
      <c r="K22" s="29">
        <f t="shared" si="5"/>
        <v>255.90833333333333</v>
      </c>
      <c r="L22">
        <f t="shared" si="6"/>
        <v>0.08</v>
      </c>
    </row>
    <row r="23" spans="1:14" ht="18" customHeight="1" x14ac:dyDescent="0.3">
      <c r="A23" s="35">
        <v>46874</v>
      </c>
      <c r="B23" s="36">
        <f t="shared" si="0"/>
        <v>4420.416666666667</v>
      </c>
      <c r="C23" s="36">
        <f t="shared" si="1"/>
        <v>2060</v>
      </c>
      <c r="D23" s="36">
        <f>IF(OR($A23=DATE(2027,9,1),$A23=EDATE(DATE(2027,9,1),12),$A23=EDATE(DATE(2027,9,1),24)),(New_Hire_Stock_Grant_USD/3)/FX_USD_per_GBP*(1+IF(YEAR($A23)=2027,Inputs!$B$56,IF(YEAR($A23)=2028,Inputs!$B$57,IF(YEAR($A23)=2029,Inputs!$B$58,0)))),0)+IF(OR($A23=DATE(2028,11,1),$A23=DATE(2029,11,1),$A23=DATE(2030,11,1)),(RSU_Grant_Nov2027_USD/3)/FX_USD_per_GBP*(1+RSU_Price_Change_Pct)^(YEAR($A23)-2028),0)+IF(OR($A23=DATE(2029,11,1),$A23=DATE(2030,11,1)),(RSU_Grant_Nov2028_USD/3)/FX_USD_per_GBP*(1+RSU_Price_Change_Pct)^(YEAR($A23)-2029),0)+IF($A23=DATE(2030,11,1),(RSU_Grant_Nov2029_USD/3)/FX_USD_per_GBP*(1+RSU_Price_Change_Pct)^(YEAR($A23)-2030),0)</f>
        <v>0</v>
      </c>
      <c r="E23" s="36">
        <f>IF($A23=EDATE(DATE(2026,8,1),Inputs!$B$9),Inputs!$B$8,0)</f>
        <v>0</v>
      </c>
      <c r="F23" s="36">
        <f>IF($A23=EDATE(DATE(2026,8,1),Inputs!$B$11),Inputs!$B$10,0)</f>
        <v>0</v>
      </c>
      <c r="G23" s="36">
        <f>IF(Inputs!$B$16=1,((IF(YEAR($A23)=2026,Inputs!$B$2,IF(YEAR($A23)=2027,IF(MONTH($A23)&gt;=Inputs!#REF!,Inputs!$B$2*(1+Inputs!$B$4),Inputs!$B$2),IF(YEAR($A23)=2028,IF(MONTH($A23)&gt;=Inputs!#REF!,Inputs!$B$2*(1+Inputs!$B$4)*(1+Inputs!$B$5),Inputs!$B$2*(1+Inputs!$B$4)),IF(YEAR($A23)=2029,IF(MONTH($A23)&gt;=Inputs!#REF!,Inputs!$B$2*(1+Inputs!$B$4)*(1+Inputs!$B$5)*(1+Inputs!$B$6),Inputs!$B$2*(1+Inputs!$B$4)*(1+Inputs!$B$5)),IF(MONTH($A23)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3" s="36">
        <f t="shared" si="2"/>
        <v>6480.416666666667</v>
      </c>
      <c r="I23" s="31">
        <f t="shared" si="3"/>
        <v>4638.4750000000004</v>
      </c>
      <c r="J23" s="29">
        <f t="shared" si="4"/>
        <v>1544.8333333333335</v>
      </c>
      <c r="K23" s="29">
        <f t="shared" si="5"/>
        <v>297.10833333333335</v>
      </c>
      <c r="L23">
        <f t="shared" si="6"/>
        <v>0.08</v>
      </c>
      <c r="M23">
        <f>3293.34-2400</f>
        <v>893.34000000000015</v>
      </c>
    </row>
    <row r="24" spans="1:14" ht="18" customHeight="1" x14ac:dyDescent="0.3">
      <c r="A24" s="35">
        <v>46905</v>
      </c>
      <c r="B24" s="36">
        <f t="shared" si="0"/>
        <v>4420.416666666667</v>
      </c>
      <c r="C24" s="36">
        <f t="shared" si="1"/>
        <v>0</v>
      </c>
      <c r="D24" s="36">
        <f>IF(OR($A24=DATE(2027,9,1),$A24=EDATE(DATE(2027,9,1),12),$A24=EDATE(DATE(2027,9,1),24)),(New_Hire_Stock_Grant_USD/3)/FX_USD_per_GBP*(1+IF(YEAR($A24)=2027,Inputs!$B$56,IF(YEAR($A24)=2028,Inputs!$B$57,IF(YEAR($A24)=2029,Inputs!$B$58,0)))),0)+IF(OR($A24=DATE(2028,11,1),$A24=DATE(2029,11,1),$A24=DATE(2030,11,1)),(RSU_Grant_Nov2027_USD/3)/FX_USD_per_GBP*(1+RSU_Price_Change_Pct)^(YEAR($A24)-2028),0)+IF(OR($A24=DATE(2029,11,1),$A24=DATE(2030,11,1)),(RSU_Grant_Nov2028_USD/3)/FX_USD_per_GBP*(1+RSU_Price_Change_Pct)^(YEAR($A24)-2029),0)+IF($A24=DATE(2030,11,1),(RSU_Grant_Nov2029_USD/3)/FX_USD_per_GBP*(1+RSU_Price_Change_Pct)^(YEAR($A24)-2030),0)</f>
        <v>0</v>
      </c>
      <c r="E24" s="36">
        <f>IF($A24=EDATE(DATE(2026,8,1),Inputs!$B$9),Inputs!$B$8,0)</f>
        <v>0</v>
      </c>
      <c r="F24" s="36">
        <f>IF($A24=EDATE(DATE(2026,8,1),Inputs!$B$11),Inputs!$B$10,0)</f>
        <v>0</v>
      </c>
      <c r="G24" s="36">
        <f>IF(Inputs!$B$16=1,((IF(YEAR($A24)=2026,Inputs!$B$2,IF(YEAR($A24)=2027,IF(MONTH($A24)&gt;=Inputs!#REF!,Inputs!$B$2*(1+Inputs!$B$4),Inputs!$B$2),IF(YEAR($A24)=2028,IF(MONTH($A24)&gt;=Inputs!#REF!,Inputs!$B$2*(1+Inputs!$B$4)*(1+Inputs!$B$5),Inputs!$B$2*(1+Inputs!$B$4)),IF(YEAR($A24)=2029,IF(MONTH($A24)&gt;=Inputs!#REF!,Inputs!$B$2*(1+Inputs!$B$4)*(1+Inputs!$B$5)*(1+Inputs!$B$6),Inputs!$B$2*(1+Inputs!$B$4)*(1+Inputs!$B$5)),IF(MONTH($A24)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4" s="36">
        <f t="shared" si="2"/>
        <v>4420.416666666667</v>
      </c>
      <c r="I24" s="31">
        <f t="shared" si="3"/>
        <v>3443.6750000000006</v>
      </c>
      <c r="J24" s="29">
        <f t="shared" si="4"/>
        <v>720.83333333333303</v>
      </c>
      <c r="K24" s="29">
        <f t="shared" si="5"/>
        <v>255.90833333333333</v>
      </c>
      <c r="L24">
        <f t="shared" si="6"/>
        <v>0.08</v>
      </c>
      <c r="M24">
        <f>M23*12</f>
        <v>10720.080000000002</v>
      </c>
      <c r="N24" s="49"/>
    </row>
    <row r="25" spans="1:14" ht="18" customHeight="1" x14ac:dyDescent="0.3">
      <c r="A25" s="35">
        <v>46935</v>
      </c>
      <c r="B25" s="36">
        <f t="shared" si="0"/>
        <v>4420.416666666667</v>
      </c>
      <c r="C25" s="36">
        <f t="shared" si="1"/>
        <v>0</v>
      </c>
      <c r="D25" s="36">
        <f>IF(OR($A25=DATE(2027,9,1),$A25=EDATE(DATE(2027,9,1),12),$A25=EDATE(DATE(2027,9,1),24)),(New_Hire_Stock_Grant_USD/3)/FX_USD_per_GBP*(1+IF(YEAR($A25)=2027,Inputs!$B$56,IF(YEAR($A25)=2028,Inputs!$B$57,IF(YEAR($A25)=2029,Inputs!$B$58,0)))),0)+IF(OR($A25=DATE(2028,11,1),$A25=DATE(2029,11,1),$A25=DATE(2030,11,1)),(RSU_Grant_Nov2027_USD/3)/FX_USD_per_GBP*(1+RSU_Price_Change_Pct)^(YEAR($A25)-2028),0)+IF(OR($A25=DATE(2029,11,1),$A25=DATE(2030,11,1)),(RSU_Grant_Nov2028_USD/3)/FX_USD_per_GBP*(1+RSU_Price_Change_Pct)^(YEAR($A25)-2029),0)+IF($A25=DATE(2030,11,1),(RSU_Grant_Nov2029_USD/3)/FX_USD_per_GBP*(1+RSU_Price_Change_Pct)^(YEAR($A25)-2030),0)</f>
        <v>0</v>
      </c>
      <c r="E25" s="36">
        <f>IF($A25=EDATE(DATE(2026,8,1),Inputs!$B$9),Inputs!$B$8,0)</f>
        <v>0</v>
      </c>
      <c r="F25" s="36">
        <f>IF($A25=EDATE(DATE(2026,8,1),Inputs!$B$11),Inputs!$B$10,0)</f>
        <v>0</v>
      </c>
      <c r="G25" s="36">
        <f>IF(Inputs!$B$16=1,((IF(YEAR($A25)=2026,Inputs!$B$2,IF(YEAR($A25)=2027,IF(MONTH($A25)&gt;=Inputs!#REF!,Inputs!$B$2*(1+Inputs!$B$4),Inputs!$B$2),IF(YEAR($A25)=2028,IF(MONTH($A25)&gt;=Inputs!#REF!,Inputs!$B$2*(1+Inputs!$B$4)*(1+Inputs!$B$5),Inputs!$B$2*(1+Inputs!$B$4)),IF(YEAR($A25)=2029,IF(MONTH($A25)&gt;=Inputs!#REF!,Inputs!$B$2*(1+Inputs!$B$4)*(1+Inputs!$B$5)*(1+Inputs!$B$6),Inputs!$B$2*(1+Inputs!$B$4)*(1+Inputs!$B$5)),IF(MONTH($A25)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5" s="36">
        <f t="shared" si="2"/>
        <v>4420.416666666667</v>
      </c>
      <c r="I25" s="31">
        <f t="shared" si="3"/>
        <v>3443.6749999999997</v>
      </c>
      <c r="J25" s="29">
        <f t="shared" si="4"/>
        <v>720.83333333333394</v>
      </c>
      <c r="K25" s="29">
        <f t="shared" si="5"/>
        <v>255.90833333333333</v>
      </c>
      <c r="L25">
        <f t="shared" si="6"/>
        <v>0.08</v>
      </c>
    </row>
    <row r="26" spans="1:14" ht="18" customHeight="1" x14ac:dyDescent="0.3">
      <c r="A26" s="35">
        <v>46966</v>
      </c>
      <c r="B26" s="36">
        <f t="shared" si="0"/>
        <v>4420.416666666667</v>
      </c>
      <c r="C26" s="36">
        <f t="shared" si="1"/>
        <v>0</v>
      </c>
      <c r="D26" s="36">
        <f>IF(OR($A26=DATE(2027,9,1),$A26=EDATE(DATE(2027,9,1),12),$A26=EDATE(DATE(2027,9,1),24)),(New_Hire_Stock_Grant_USD/3)/FX_USD_per_GBP*(1+IF(YEAR($A26)=2027,Inputs!$B$56,IF(YEAR($A26)=2028,Inputs!$B$57,IF(YEAR($A26)=2029,Inputs!$B$58,0)))),0)+IF(OR($A26=DATE(2028,11,1),$A26=DATE(2029,11,1),$A26=DATE(2030,11,1)),(RSU_Grant_Nov2027_USD/3)/FX_USD_per_GBP*(1+RSU_Price_Change_Pct)^(YEAR($A26)-2028),0)+IF(OR($A26=DATE(2029,11,1),$A26=DATE(2030,11,1)),(RSU_Grant_Nov2028_USD/3)/FX_USD_per_GBP*(1+RSU_Price_Change_Pct)^(YEAR($A26)-2029),0)+IF($A26=DATE(2030,11,1),(RSU_Grant_Nov2029_USD/3)/FX_USD_per_GBP*(1+RSU_Price_Change_Pct)^(YEAR($A26)-2030),0)</f>
        <v>0</v>
      </c>
      <c r="E26" s="36">
        <f>IF($A26=EDATE(DATE(2026,8,1),Inputs!$B$9),Inputs!$B$8,0)</f>
        <v>0</v>
      </c>
      <c r="F26" s="36">
        <f>IF($A26=EDATE(DATE(2026,8,1),Inputs!$B$11),Inputs!$B$10,0)</f>
        <v>0</v>
      </c>
      <c r="G26" s="36">
        <f>IF(Inputs!$B$16=1,((IF(YEAR($A26)=2026,Inputs!$B$2,IF(YEAR($A26)=2027,IF(MONTH($A26)&gt;=Inputs!#REF!,Inputs!$B$2*(1+Inputs!$B$4),Inputs!$B$2),IF(YEAR($A26)=2028,IF(MONTH($A26)&gt;=Inputs!#REF!,Inputs!$B$2*(1+Inputs!$B$4)*(1+Inputs!$B$5),Inputs!$B$2*(1+Inputs!$B$4)),IF(YEAR($A26)=2029,IF(MONTH($A26)&gt;=Inputs!#REF!,Inputs!$B$2*(1+Inputs!$B$4)*(1+Inputs!$B$5)*(1+Inputs!$B$6),Inputs!$B$2*(1+Inputs!$B$4)*(1+Inputs!$B$5)),IF(MONTH($A26)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6" s="36">
        <f t="shared" si="2"/>
        <v>4420.416666666667</v>
      </c>
      <c r="I26" s="31">
        <f t="shared" si="3"/>
        <v>3443.6749999999997</v>
      </c>
      <c r="J26" s="34">
        <f t="shared" si="4"/>
        <v>720.83333333333394</v>
      </c>
      <c r="K26" s="29">
        <f t="shared" si="5"/>
        <v>255.90833333333333</v>
      </c>
      <c r="L26">
        <f t="shared" si="6"/>
        <v>0.08</v>
      </c>
      <c r="M26">
        <f>13772/12</f>
        <v>1147.6666666666667</v>
      </c>
      <c r="N26" s="50"/>
    </row>
    <row r="27" spans="1:14" x14ac:dyDescent="0.3">
      <c r="A27" s="35">
        <v>46997</v>
      </c>
      <c r="B27" s="36">
        <f t="shared" si="0"/>
        <v>4420.416666666667</v>
      </c>
      <c r="C27" s="36">
        <f t="shared" si="1"/>
        <v>0</v>
      </c>
      <c r="D27" s="36">
        <f>IF(OR($A27=DATE(2027,9,1),$A27=EDATE(DATE(2027,9,1),12),$A27=EDATE(DATE(2027,9,1),24)),(New_Hire_Stock_Grant_USD/3)/FX_USD_per_GBP*(1+IF(YEAR($A27)=2027,Inputs!$B$56,IF(YEAR($A27)=2028,Inputs!$B$57,IF(YEAR($A27)=2029,Inputs!$B$58,0)))),0)+IF(OR($A27=DATE(2028,11,1),$A27=DATE(2029,11,1),$A27=DATE(2030,11,1)),(RSU_Grant_Nov2027_USD/3)/FX_USD_per_GBP*(1+RSU_Price_Change_Pct)^(YEAR($A27)-2028),0)+IF(OR($A27=DATE(2029,11,1),$A27=DATE(2030,11,1)),(RSU_Grant_Nov2028_USD/3)/FX_USD_per_GBP*(1+RSU_Price_Change_Pct)^(YEAR($A27)-2029),0)+IF($A27=DATE(2030,11,1),(RSU_Grant_Nov2029_USD/3)/FX_USD_per_GBP*(1+RSU_Price_Change_Pct)^(YEAR($A27)-2030),0)</f>
        <v>7352.9411764705874</v>
      </c>
      <c r="E27" s="36">
        <f>IF($A27=EDATE(DATE(2026,8,1),Inputs!$B$9),Inputs!$B$8,0)</f>
        <v>0</v>
      </c>
      <c r="F27" s="36">
        <f>IF($A27=EDATE(DATE(2026,8,1),Inputs!$B$11),Inputs!$B$10,0)</f>
        <v>0</v>
      </c>
      <c r="G27" s="36">
        <f>IF(Inputs!$B$16=1,((IF(YEAR($A27)=2026,Inputs!$B$2,IF(YEAR($A27)=2027,IF(MONTH($A27)&gt;=Inputs!#REF!,Inputs!$B$2*(1+Inputs!$B$4),Inputs!$B$2),IF(YEAR($A27)=2028,IF(MONTH($A27)&gt;=Inputs!#REF!,Inputs!$B$2*(1+Inputs!$B$4)*(1+Inputs!$B$5),Inputs!$B$2*(1+Inputs!$B$4)),IF(YEAR($A27)=2029,IF(MONTH($A27)&gt;=Inputs!#REF!,Inputs!$B$2*(1+Inputs!$B$4)*(1+Inputs!$B$5)*(1+Inputs!$B$6),Inputs!$B$2*(1+Inputs!$B$4)*(1+Inputs!$B$5)),IF(MONTH($A27)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7" s="36">
        <f t="shared" si="2"/>
        <v>11773.357843137255</v>
      </c>
      <c r="I27" s="31">
        <f t="shared" si="3"/>
        <v>7708.3808823529425</v>
      </c>
      <c r="J27" s="29">
        <f t="shared" si="4"/>
        <v>3662.0098039215673</v>
      </c>
      <c r="K27" s="29">
        <f t="shared" si="5"/>
        <v>402.96715686274513</v>
      </c>
      <c r="L27">
        <f t="shared" si="6"/>
        <v>0.08</v>
      </c>
    </row>
    <row r="28" spans="1:14" x14ac:dyDescent="0.3">
      <c r="A28" s="35">
        <v>47027</v>
      </c>
      <c r="B28" s="36">
        <f t="shared" si="0"/>
        <v>4553.0291666666662</v>
      </c>
      <c r="C28" s="36">
        <f t="shared" si="1"/>
        <v>0</v>
      </c>
      <c r="D28" s="36">
        <f>IF(OR($A28=DATE(2027,9,1),$A28=EDATE(DATE(2027,9,1),12),$A28=EDATE(DATE(2027,9,1),24)),(New_Hire_Stock_Grant_USD/3)/FX_USD_per_GBP*(1+IF(YEAR($A28)=2027,Inputs!$B$56,IF(YEAR($A28)=2028,Inputs!$B$57,IF(YEAR($A28)=2029,Inputs!$B$58,0)))),0)+IF(OR($A28=DATE(2028,11,1),$A28=DATE(2029,11,1),$A28=DATE(2030,11,1)),(RSU_Grant_Nov2027_USD/3)/FX_USD_per_GBP*(1+RSU_Price_Change_Pct)^(YEAR($A28)-2028),0)+IF(OR($A28=DATE(2029,11,1),$A28=DATE(2030,11,1)),(RSU_Grant_Nov2028_USD/3)/FX_USD_per_GBP*(1+RSU_Price_Change_Pct)^(YEAR($A28)-2029),0)+IF($A28=DATE(2030,11,1),(RSU_Grant_Nov2029_USD/3)/FX_USD_per_GBP*(1+RSU_Price_Change_Pct)^(YEAR($A28)-2030),0)</f>
        <v>0</v>
      </c>
      <c r="E28" s="36">
        <f>IF($A28=EDATE(DATE(2026,8,1),Inputs!$B$9),Inputs!$B$8,0)</f>
        <v>0</v>
      </c>
      <c r="F28" s="36">
        <f>IF($A28=EDATE(DATE(2026,8,1),Inputs!$B$11),Inputs!$B$10,0)</f>
        <v>0</v>
      </c>
      <c r="G28" s="36">
        <f>IF(Inputs!$B$16=1,((IF(YEAR($A28)=2026,Inputs!$B$2,IF(YEAR($A28)=2027,IF(MONTH($A28)&gt;=Inputs!#REF!,Inputs!$B$2*(1+Inputs!$B$4),Inputs!$B$2),IF(YEAR($A28)=2028,IF(MONTH($A28)&gt;=Inputs!#REF!,Inputs!$B$2*(1+Inputs!$B$4)*(1+Inputs!$B$5),Inputs!$B$2*(1+Inputs!$B$4)),IF(YEAR($A28)=2029,IF(MONTH($A28)&gt;=Inputs!#REF!,Inputs!$B$2*(1+Inputs!$B$4)*(1+Inputs!$B$5)*(1+Inputs!$B$6),Inputs!$B$2*(1+Inputs!$B$4)*(1+Inputs!$B$5)),IF(MONTH($A28)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8" s="36">
        <f t="shared" si="2"/>
        <v>4553.0291666666662</v>
      </c>
      <c r="I28" s="31">
        <f t="shared" si="3"/>
        <v>3520.5902499999997</v>
      </c>
      <c r="J28" s="29">
        <f t="shared" si="4"/>
        <v>773.8783333333331</v>
      </c>
      <c r="K28" s="29">
        <f t="shared" si="5"/>
        <v>258.56058333333334</v>
      </c>
      <c r="L28">
        <f t="shared" si="6"/>
        <v>0.1</v>
      </c>
    </row>
    <row r="29" spans="1:14" x14ac:dyDescent="0.3">
      <c r="A29" s="35">
        <v>47058</v>
      </c>
      <c r="B29" s="36">
        <f t="shared" si="0"/>
        <v>4553.0291666666662</v>
      </c>
      <c r="C29" s="36">
        <f t="shared" si="1"/>
        <v>2121.7999999999997</v>
      </c>
      <c r="D29" s="36">
        <f>IF(OR($A29=DATE(2027,9,1),$A29=EDATE(DATE(2027,9,1),12),$A29=EDATE(DATE(2027,9,1),24)),(New_Hire_Stock_Grant_USD/3)/FX_USD_per_GBP*(1+IF(YEAR($A29)=2027,Inputs!$B$56,IF(YEAR($A29)=2028,Inputs!$B$57,IF(YEAR($A29)=2029,Inputs!$B$58,0)))),0)+IF(OR($A29=DATE(2028,11,1),$A29=DATE(2029,11,1),$A29=DATE(2030,11,1)),(RSU_Grant_Nov2027_USD/3)/FX_USD_per_GBP*(1+RSU_Price_Change_Pct)^(YEAR($A29)-2028),0)+IF(OR($A29=DATE(2029,11,1),$A29=DATE(2030,11,1)),(RSU_Grant_Nov2028_USD/3)/FX_USD_per_GBP*(1+RSU_Price_Change_Pct)^(YEAR($A29)-2029),0)+IF($A29=DATE(2030,11,1),(RSU_Grant_Nov2029_USD/3)/FX_USD_per_GBP*(1+RSU_Price_Change_Pct)^(YEAR($A29)-2030),0)</f>
        <v>0</v>
      </c>
      <c r="E29" s="36">
        <f>IF($A29=EDATE(DATE(2026,8,1),Inputs!$B$9),Inputs!$B$8,0)</f>
        <v>0</v>
      </c>
      <c r="F29" s="36">
        <f>IF($A29=EDATE(DATE(2026,8,1),Inputs!$B$11),Inputs!$B$10,0)</f>
        <v>0</v>
      </c>
      <c r="G29" s="36">
        <f>IF(Inputs!$B$16=1,((IF(YEAR($A29)=2026,Inputs!$B$2,IF(YEAR($A29)=2027,IF(MONTH($A29)&gt;=Inputs!#REF!,Inputs!$B$2*(1+Inputs!$B$4),Inputs!$B$2),IF(YEAR($A29)=2028,IF(MONTH($A29)&gt;=Inputs!#REF!,Inputs!$B$2*(1+Inputs!$B$4)*(1+Inputs!$B$5),Inputs!$B$2*(1+Inputs!$B$4)),IF(YEAR($A29)=2029,IF(MONTH($A29)&gt;=Inputs!#REF!,Inputs!$B$2*(1+Inputs!$B$4)*(1+Inputs!$B$5)*(1+Inputs!$B$6),Inputs!$B$2*(1+Inputs!$B$4)*(1+Inputs!$B$5)),IF(MONTH($A29)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29" s="36">
        <f t="shared" si="2"/>
        <v>6674.8291666666664</v>
      </c>
      <c r="I29" s="31">
        <f t="shared" si="3"/>
        <v>4751.2342499999977</v>
      </c>
      <c r="J29" s="29">
        <f t="shared" si="4"/>
        <v>1622.5983333333352</v>
      </c>
      <c r="K29" s="29">
        <f t="shared" si="5"/>
        <v>300.99658333333332</v>
      </c>
      <c r="L29">
        <f t="shared" si="6"/>
        <v>0.1</v>
      </c>
    </row>
    <row r="30" spans="1:14" ht="15" customHeight="1" thickBot="1" x14ac:dyDescent="0.35">
      <c r="A30" s="37">
        <v>47088</v>
      </c>
      <c r="B30" s="38">
        <f t="shared" si="0"/>
        <v>4553.0291666666662</v>
      </c>
      <c r="C30" s="39">
        <f t="shared" si="1"/>
        <v>0</v>
      </c>
      <c r="D30" s="38">
        <f>IF(OR($A30=DATE(2027,9,1),$A30=EDATE(DATE(2027,9,1),12),$A30=EDATE(DATE(2027,9,1),24)),(New_Hire_Stock_Grant_USD/3)/FX_USD_per_GBP*(1+IF(YEAR($A30)=2027,Inputs!$B$56,IF(YEAR($A30)=2028,Inputs!$B$57,IF(YEAR($A30)=2029,Inputs!$B$58,0)))),0)+IF(OR($A30=DATE(2028,11,1),$A30=DATE(2029,11,1),$A30=DATE(2030,11,1)),(RSU_Grant_Nov2027_USD/3)/FX_USD_per_GBP*(1+RSU_Price_Change_Pct)^(YEAR($A30)-2028),0)+IF(OR($A30=DATE(2029,11,1),$A30=DATE(2030,11,1)),(RSU_Grant_Nov2028_USD/3)/FX_USD_per_GBP*(1+RSU_Price_Change_Pct)^(YEAR($A30)-2029),0)+IF($A30=DATE(2030,11,1),(RSU_Grant_Nov2029_USD/3)/FX_USD_per_GBP*(1+RSU_Price_Change_Pct)^(YEAR($A30)-2030),0)</f>
        <v>0</v>
      </c>
      <c r="E30" s="38">
        <f>IF($A30=EDATE(DATE(2026,8,1),Inputs!$B$9),Inputs!$B$8,0)</f>
        <v>0</v>
      </c>
      <c r="F30" s="38">
        <f>IF($A30=EDATE(DATE(2026,8,1),Inputs!$B$11),Inputs!$B$10,0)</f>
        <v>0</v>
      </c>
      <c r="G30" s="38">
        <f>IF(Inputs!$B$16=1,((IF(YEAR($A30)=2026,Inputs!$B$2,IF(YEAR($A30)=2027,IF(MONTH($A30)&gt;=Inputs!#REF!,Inputs!$B$2*(1+Inputs!$B$4),Inputs!$B$2),IF(YEAR($A30)=2028,IF(MONTH($A30)&gt;=Inputs!#REF!,Inputs!$B$2*(1+Inputs!$B$4)*(1+Inputs!$B$5),Inputs!$B$2*(1+Inputs!$B$4)),IF(YEAR($A30)=2029,IF(MONTH($A30)&gt;=Inputs!#REF!,Inputs!$B$2*(1+Inputs!$B$4)*(1+Inputs!$B$5)*(1+Inputs!$B$6),Inputs!$B$2*(1+Inputs!$B$4)*(1+Inputs!$B$5)),IF(MONTH($A30)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0" s="38">
        <f t="shared" si="2"/>
        <v>4553.0291666666662</v>
      </c>
      <c r="I30" s="31">
        <f t="shared" si="3"/>
        <v>3520.5902499999988</v>
      </c>
      <c r="J30" s="29">
        <f t="shared" si="4"/>
        <v>773.87833333333401</v>
      </c>
      <c r="K30" s="29">
        <f t="shared" si="5"/>
        <v>258.56058333333334</v>
      </c>
      <c r="L30">
        <f t="shared" si="6"/>
        <v>0.1</v>
      </c>
    </row>
    <row r="31" spans="1:14" ht="15" customHeight="1" thickTop="1" x14ac:dyDescent="0.3">
      <c r="A31" s="35">
        <v>47119</v>
      </c>
      <c r="B31" s="36">
        <f t="shared" si="0"/>
        <v>4553.0291666666662</v>
      </c>
      <c r="C31" s="40">
        <f t="shared" si="1"/>
        <v>0</v>
      </c>
      <c r="D31" s="36">
        <f>IF(OR($A31=DATE(2027,9,1),$A31=EDATE(DATE(2027,9,1),12),$A31=EDATE(DATE(2027,9,1),24)),(New_Hire_Stock_Grant_USD/3)/FX_USD_per_GBP*(1+IF(YEAR($A31)=2027,Inputs!$B$56,IF(YEAR($A31)=2028,Inputs!$B$57,IF(YEAR($A31)=2029,Inputs!$B$58,0)))),0)+IF(OR($A31=DATE(2028,11,1),$A31=DATE(2029,11,1),$A31=DATE(2030,11,1)),(RSU_Grant_Nov2027_USD/3)/FX_USD_per_GBP*(1+RSU_Price_Change_Pct)^(YEAR($A31)-2028),0)+IF(OR($A31=DATE(2029,11,1),$A31=DATE(2030,11,1)),(RSU_Grant_Nov2028_USD/3)/FX_USD_per_GBP*(1+RSU_Price_Change_Pct)^(YEAR($A31)-2029),0)+IF($A31=DATE(2030,11,1),(RSU_Grant_Nov2029_USD/3)/FX_USD_per_GBP*(1+RSU_Price_Change_Pct)^(YEAR($A31)-2030),0)</f>
        <v>0</v>
      </c>
      <c r="E31" s="36">
        <f>IF($A31=EDATE(DATE(2026,8,1),Inputs!$B$9),Inputs!$B$8,0)</f>
        <v>0</v>
      </c>
      <c r="F31" s="36">
        <f>IF($A31=EDATE(DATE(2026,8,1),Inputs!$B$11),Inputs!$B$10,0)</f>
        <v>0</v>
      </c>
      <c r="G31" s="36">
        <f>IF(Inputs!$B$16=1,((IF(YEAR($A31)=2026,Inputs!$B$2,IF(YEAR($A31)=2027,IF(MONTH($A31)&gt;=Inputs!#REF!,Inputs!$B$2*(1+Inputs!$B$4),Inputs!$B$2),IF(YEAR($A31)=2028,IF(MONTH($A31)&gt;=Inputs!#REF!,Inputs!$B$2*(1+Inputs!$B$4)*(1+Inputs!$B$5),Inputs!$B$2*(1+Inputs!$B$4)),IF(YEAR($A31)=2029,IF(MONTH($A31)&gt;=Inputs!#REF!,Inputs!$B$2*(1+Inputs!$B$4)*(1+Inputs!$B$5)*(1+Inputs!$B$6),Inputs!$B$2*(1+Inputs!$B$4)*(1+Inputs!$B$5)),IF(MONTH($A31)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1" s="36">
        <f t="shared" si="2"/>
        <v>4553.0291666666662</v>
      </c>
      <c r="I31" s="31">
        <f t="shared" si="3"/>
        <v>3520.5902499999988</v>
      </c>
      <c r="J31" s="29">
        <f t="shared" si="4"/>
        <v>773.87833333333401</v>
      </c>
      <c r="K31" s="29">
        <f t="shared" si="5"/>
        <v>258.56058333333334</v>
      </c>
      <c r="L31">
        <f t="shared" si="6"/>
        <v>0.1</v>
      </c>
    </row>
    <row r="32" spans="1:14" x14ac:dyDescent="0.3">
      <c r="A32" s="35">
        <v>47150</v>
      </c>
      <c r="B32" s="36">
        <f t="shared" si="0"/>
        <v>4553.0291666666662</v>
      </c>
      <c r="C32" s="36">
        <f t="shared" si="1"/>
        <v>0</v>
      </c>
      <c r="D32" s="36">
        <f>IF(OR($A32=DATE(2027,9,1),$A32=EDATE(DATE(2027,9,1),12),$A32=EDATE(DATE(2027,9,1),24)),(New_Hire_Stock_Grant_USD/3)/FX_USD_per_GBP*(1+IF(YEAR($A32)=2027,Inputs!$B$56,IF(YEAR($A32)=2028,Inputs!$B$57,IF(YEAR($A32)=2029,Inputs!$B$58,0)))),0)+IF(OR($A32=DATE(2028,11,1),$A32=DATE(2029,11,1),$A32=DATE(2030,11,1)),(RSU_Grant_Nov2027_USD/3)/FX_USD_per_GBP*(1+RSU_Price_Change_Pct)^(YEAR($A32)-2028),0)+IF(OR($A32=DATE(2029,11,1),$A32=DATE(2030,11,1)),(RSU_Grant_Nov2028_USD/3)/FX_USD_per_GBP*(1+RSU_Price_Change_Pct)^(YEAR($A32)-2029),0)+IF($A32=DATE(2030,11,1),(RSU_Grant_Nov2029_USD/3)/FX_USD_per_GBP*(1+RSU_Price_Change_Pct)^(YEAR($A32)-2030),0)</f>
        <v>0</v>
      </c>
      <c r="E32" s="36">
        <f>IF($A32=EDATE(DATE(2026,8,1),Inputs!$B$9),Inputs!$B$8,0)</f>
        <v>0</v>
      </c>
      <c r="F32" s="36">
        <f>IF($A32=EDATE(DATE(2026,8,1),Inputs!$B$11),Inputs!$B$10,0)</f>
        <v>0</v>
      </c>
      <c r="G32" s="36">
        <f>IF(Inputs!$B$16=1,((IF(YEAR($A32)=2026,Inputs!$B$2,IF(YEAR($A32)=2027,IF(MONTH($A32)&gt;=Inputs!#REF!,Inputs!$B$2*(1+Inputs!$B$4),Inputs!$B$2),IF(YEAR($A32)=2028,IF(MONTH($A32)&gt;=Inputs!#REF!,Inputs!$B$2*(1+Inputs!$B$4)*(1+Inputs!$B$5),Inputs!$B$2*(1+Inputs!$B$4)),IF(YEAR($A32)=2029,IF(MONTH($A32)&gt;=Inputs!#REF!,Inputs!$B$2*(1+Inputs!$B$4)*(1+Inputs!$B$5)*(1+Inputs!$B$6),Inputs!$B$2*(1+Inputs!$B$4)*(1+Inputs!$B$5)),IF(MONTH($A32)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2" s="36">
        <f t="shared" si="2"/>
        <v>4553.0291666666662</v>
      </c>
      <c r="I32" s="31">
        <f t="shared" si="3"/>
        <v>3520.5902499999988</v>
      </c>
      <c r="J32" s="29">
        <f t="shared" si="4"/>
        <v>773.87833333333401</v>
      </c>
      <c r="K32" s="29">
        <f t="shared" si="5"/>
        <v>258.56058333333334</v>
      </c>
      <c r="L32">
        <f t="shared" si="6"/>
        <v>0.1</v>
      </c>
    </row>
    <row r="33" spans="1:12" x14ac:dyDescent="0.3">
      <c r="A33" s="35">
        <v>47178</v>
      </c>
      <c r="B33" s="36">
        <f t="shared" si="0"/>
        <v>4553.0291666666662</v>
      </c>
      <c r="C33" s="36">
        <f t="shared" si="1"/>
        <v>0</v>
      </c>
      <c r="D33" s="36">
        <f>IF(OR($A33=DATE(2027,9,1),$A33=EDATE(DATE(2027,9,1),12),$A33=EDATE(DATE(2027,9,1),24)),(New_Hire_Stock_Grant_USD/3)/FX_USD_per_GBP*(1+IF(YEAR($A33)=2027,Inputs!$B$56,IF(YEAR($A33)=2028,Inputs!$B$57,IF(YEAR($A33)=2029,Inputs!$B$58,0)))),0)+IF(OR($A33=DATE(2028,11,1),$A33=DATE(2029,11,1),$A33=DATE(2030,11,1)),(RSU_Grant_Nov2027_USD/3)/FX_USD_per_GBP*(1+RSU_Price_Change_Pct)^(YEAR($A33)-2028),0)+IF(OR($A33=DATE(2029,11,1),$A33=DATE(2030,11,1)),(RSU_Grant_Nov2028_USD/3)/FX_USD_per_GBP*(1+RSU_Price_Change_Pct)^(YEAR($A33)-2029),0)+IF($A33=DATE(2030,11,1),(RSU_Grant_Nov2029_USD/3)/FX_USD_per_GBP*(1+RSU_Price_Change_Pct)^(YEAR($A33)-2030),0)</f>
        <v>0</v>
      </c>
      <c r="E33" s="36">
        <f>IF($A33=EDATE(DATE(2026,8,1),Inputs!$B$9),Inputs!$B$8,0)</f>
        <v>0</v>
      </c>
      <c r="F33" s="36">
        <f>IF($A33=EDATE(DATE(2026,8,1),Inputs!$B$11),Inputs!$B$10,0)</f>
        <v>0</v>
      </c>
      <c r="G33" s="36">
        <f>IF(Inputs!$B$16=1,((IF(YEAR($A33)=2026,Inputs!$B$2,IF(YEAR($A33)=2027,IF(MONTH($A33)&gt;=Inputs!#REF!,Inputs!$B$2*(1+Inputs!$B$4),Inputs!$B$2),IF(YEAR($A33)=2028,IF(MONTH($A33)&gt;=Inputs!#REF!,Inputs!$B$2*(1+Inputs!$B$4)*(1+Inputs!$B$5),Inputs!$B$2*(1+Inputs!$B$4)),IF(YEAR($A33)=2029,IF(MONTH($A33)&gt;=Inputs!#REF!,Inputs!$B$2*(1+Inputs!$B$4)*(1+Inputs!$B$5)*(1+Inputs!$B$6),Inputs!$B$2*(1+Inputs!$B$4)*(1+Inputs!$B$5)),IF(MONTH($A33)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3" s="36">
        <f t="shared" si="2"/>
        <v>4553.0291666666662</v>
      </c>
      <c r="I33" s="31">
        <f t="shared" si="3"/>
        <v>3520.5902500000007</v>
      </c>
      <c r="J33" s="29">
        <f t="shared" si="4"/>
        <v>773.87833333333219</v>
      </c>
      <c r="K33" s="29">
        <f t="shared" si="5"/>
        <v>258.56058333333334</v>
      </c>
      <c r="L33">
        <f t="shared" si="6"/>
        <v>0.1</v>
      </c>
    </row>
    <row r="34" spans="1:12" x14ac:dyDescent="0.3">
      <c r="A34" s="35">
        <v>47209</v>
      </c>
      <c r="B34" s="36">
        <f t="shared" ref="B34:B54" si="7">(IF(YEAR($A34)=2026,Base_Annual_Salary_GBP,IF(YEAR($A34)=2027,Base_Annual_Salary_GBP*(IF(MONTH($A34)&gt;=4,(1+Raise_Pct_Apr2027),1)*IF(MONTH($A34)&gt;=10,(1+Raise_Pct_Nov2027),1)),IF(YEAR($A34)=2028,Base_Annual_Salary_GBP*((1+Raise_Pct_Apr2027)*(1+Raise_Pct_Nov2027))*(IF(MONTH($A34)&gt;=4,(1+Raise_Pct_Apr2028),1)*IF(MONTH($A34)&gt;=10,(1+Raise_Pct_Nov2028),1)),IF(YEAR($A34)=2029,Base_Annual_Salary_GBP*((1+Raise_Pct_Apr2027)*(1+Raise_Pct_Nov2027)*(1+Raise_Pct_Apr2028)*(1+Raise_Pct_Nov2028))*(IF(MONTH($A34)&gt;=4,(1+Raise_Pct_Apr2029),1)*IF(MONTH($A34)&gt;=10,(1+Raise_Pct_Nov2029),1)),Base_Annual_Salary_GBP*((1+Raise_Pct_Apr2027)*(1+Raise_Pct_Nov2027)*(1+Raise_Pct_Apr2028)*(1+Raise_Pct_Nov2028)*(1+Raise_Pct_Apr2029)*(1+Raise_Pct_Nov2029))*(IF(MONTH($A34)&gt;=4,(1+Raise_Pct_Apr2030),1)*IF(MONTH($A34)&gt;=10,(1+Raise_Pct_Nov2030),1)))))))/12</f>
        <v>4689.6200416666661</v>
      </c>
      <c r="C34" s="36">
        <f t="shared" ref="C34:C54" si="8">IF(MONTH($A34)=11,((IF(DATE(YEAR($A34),4,1)&lt;DATE(2026,10,1),Bonus_Pct_Aug2026_to_Sep2026,IF(DATE(YEAR($A34),4,1)&lt;DATE(2027,10,1),Bonus_Pct_Oct2026_to_Sep2027,IF(DATE(YEAR($A34),4,1)&lt;DATE(2028,10,1),Bonus_Pct_Oct2027_to_Sep2028,IF(DATE(YEAR($A34),4,1)&lt;DATE(2029,10,1),Bonus_Pct_Oct2028_to_Sep2029,Bonus_Pct_Oct2029_onwards)))))/2)*($B34*12) / (1 + IF(YEAR($A34)=2027,Raise_Pct_Nov2027,IF(YEAR($A34)=2028,Raise_Pct_Nov2028,IF(YEAR($A34)=2029,Raise_Pct_Nov2029,IF(YEAR($A34)=2030,Raise_Pct_Nov2030,0))))) * IF(YEAR($A34)=2026,2/6,1),IF(MONTH($A34)=5,((IF(DATE(YEAR($A34)-1,10,1)&lt;DATE(2026,10,1),Bonus_Pct_Aug2026_to_Sep2026,IF(DATE(YEAR($A34)-1,10,1)&lt;DATE(2027,10,1),Bonus_Pct_Oct2026_to_Sep2027,IF(DATE(YEAR($A34)-1,10,1)&lt;DATE(2028,10,1),Bonus_Pct_Oct2027_to_Sep2028,IF(DATE(YEAR($A34)-1,10,1)&lt;DATE(2029,10,1),Bonus_Pct_Oct2028_to_Sep2029,Bonus_Pct_Oct2029_onwards)))))/2)*($B34*12) / (1 + IF(YEAR($A34)=2027,Raise_Pct_Apr2027,IF(YEAR($A34)=2028,Raise_Pct_Apr2028,IF(YEAR($A34)=2029,Raise_Pct_Apr2029,IF(YEAR($A34)=2030,Raise_Pct_Apr2030,0))))),0))</f>
        <v>0</v>
      </c>
      <c r="D34" s="36">
        <f>IF(OR($A34=DATE(2027,9,1),$A34=EDATE(DATE(2027,9,1),12),$A34=EDATE(DATE(2027,9,1),24)),(New_Hire_Stock_Grant_USD/3)/FX_USD_per_GBP*(1+IF(YEAR($A34)=2027,Inputs!$B$56,IF(YEAR($A34)=2028,Inputs!$B$57,IF(YEAR($A34)=2029,Inputs!$B$58,0)))),0)+IF(OR($A34=DATE(2028,11,1),$A34=DATE(2029,11,1),$A34=DATE(2030,11,1)),(RSU_Grant_Nov2027_USD/3)/FX_USD_per_GBP*(1+RSU_Price_Change_Pct)^(YEAR($A34)-2028),0)+IF(OR($A34=DATE(2029,11,1),$A34=DATE(2030,11,1)),(RSU_Grant_Nov2028_USD/3)/FX_USD_per_GBP*(1+RSU_Price_Change_Pct)^(YEAR($A34)-2029),0)+IF($A34=DATE(2030,11,1),(RSU_Grant_Nov2029_USD/3)/FX_USD_per_GBP*(1+RSU_Price_Change_Pct)^(YEAR($A34)-2030),0)</f>
        <v>0</v>
      </c>
      <c r="E34" s="36">
        <f>IF($A34=EDATE(DATE(2026,8,1),Inputs!$B$9),Inputs!$B$8,0)</f>
        <v>0</v>
      </c>
      <c r="F34" s="36">
        <f>IF($A34=EDATE(DATE(2026,8,1),Inputs!$B$11),Inputs!$B$10,0)</f>
        <v>0</v>
      </c>
      <c r="G34" s="36">
        <f>IF(Inputs!$B$16=1,((IF(YEAR($A34)=2026,Inputs!$B$2,IF(YEAR($A34)=2027,IF(MONTH($A34)&gt;=Inputs!#REF!,Inputs!$B$2*(1+Inputs!$B$4),Inputs!$B$2),IF(YEAR($A34)=2028,IF(MONTH($A34)&gt;=Inputs!#REF!,Inputs!$B$2*(1+Inputs!$B$4)*(1+Inputs!$B$5),Inputs!$B$2*(1+Inputs!$B$4)),IF(YEAR($A34)=2029,IF(MONTH($A34)&gt;=Inputs!#REF!,Inputs!$B$2*(1+Inputs!$B$4)*(1+Inputs!$B$5)*(1+Inputs!$B$6),Inputs!$B$2*(1+Inputs!$B$4)*(1+Inputs!$B$5)),IF(MONTH($A34)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4" s="36">
        <f t="shared" ref="H34:H54" si="9">SUM(B34:G34)</f>
        <v>4689.6200416666661</v>
      </c>
      <c r="I34" s="31">
        <f t="shared" ref="I34:I54" si="10">$H34-J34-K34</f>
        <v>3599.8129574999994</v>
      </c>
      <c r="J34" s="29">
        <f t="shared" ref="J34:J54" si="11">_xlfn.SINGLE(_xlfn.LET(_xlpm.d, $A34, _xlpm.ys, YEAR(_xlfn.SINGLE(_xlpm.d)) - IF(MONTH(_xlfn.SINGLE(_xlpm.d)) &lt; UK_TaxYear_Start_Month, 1, 0), _xlpm.start, DATE(_xlfn.SINGLE(_xlpm.ys), UK_TaxYear_Start_Month, 1), _xlpm.m, DATEDIF(_xlfn.SINGLE(_xlpm.start), _xlfn.SINGLE(_xlpm.d), "m") + 1, _xlpm.cum, SUMIFS($H$2:$H$54, $A$2:$A$54, "&gt;=" &amp; _xlfn.SINGLE(_xlpm.start), $A$2:$A$54, "&lt;=" &amp; _xlfn.SINGLE(_xlpm.d)), _xlpm.pa, UK_Personal_Allowance_Annual / 12 * _xlfn.SINGLE(_xlpm.m), _xlpm.br, (UK_Basic_Band_Upper_Annual - UK_Personal_Allowance_Annual) / 12 * _xlfn.SINGLE(_xlpm.m), _xlpm.hr, (UK_Higher_Band_Upper_Annual - UK_Basic_Band_Upper_Annual) / 12 * _xlfn.SINGLE(_xlpm.m), _xlpm.taxable, MAX(0, _xlfn.SINGLE(_xlpm.cum) - _xlfn.SINGLE(_xlpm.pa)), _xlpm.tax_to_date, UK_Basic_Rate * MIN(_xlpm.taxable, _xlpm.br) + UK_Higher_Rate * MIN(MAX(_xlfn.SINGLE(_xlpm.taxable) - _xlfn.SINGLE(_xlpm.br), 0), _xlpm.hr) + UK_Additional_Rate * MAX(_xlfn.SINGLE(_xlpm.taxable) - _xlfn.SINGLE(_xlpm.br) - _xlfn.SINGLE(_xlpm.hr), 0), _xlpm.prior, SUMIFS($J$2:$J$54, $A$2:$A$54, "&gt;=" &amp; _xlfn.SINGLE(_xlpm.start), $A$2:$A$54, "&lt;" &amp; _xlfn.SINGLE(_xlpm.d)), MAX(0, _xlfn.SINGLE(_xlpm.tax_to_date) - _xlfn.SINGLE(_xlpm.prior))))</f>
        <v>828.51468333333321</v>
      </c>
      <c r="K34" s="29">
        <f t="shared" ref="K34:K54" si="12">_xlfn.SINGLE(_xlfn.LET(_xlpm.g, $H34, _xlpm.pt, UK_NI_PT_Monthly, _xlpm.uel, UK_NI_UEL_Monthly, IF(_xlfn.SINGLE(_xlpm.g) &lt;= _xlfn.SINGLE(_xlpm.pt), 0, UK_NI_Main_Rate * MIN(_xlfn.SINGLE(_xlpm.g) - _xlfn.SINGLE(_xlpm.pt), _xlfn.SINGLE(_xlpm.uel) - _xlfn.SINGLE(_xlpm.pt)) + UK_NI_Upper_Rate * MAX(_xlfn.SINGLE(_xlpm.g) - _xlfn.SINGLE(_xlpm.uel), 0))))</f>
        <v>261.29240083333332</v>
      </c>
      <c r="L34">
        <f t="shared" ref="L34:L54" si="13">IF($A34&lt;DATE(2026,10,1),Bonus_Pct_Aug2026_to_Sep2026,IF($A34&lt;DATE(2027,10,1),Bonus_Pct_Oct2026_to_Sep2027,IF($A34&lt;DATE(2028,10,1),Bonus_Pct_Oct2027_to_Sep2028,IF($A34&lt;DATE(2029,10,1),Bonus_Pct_Oct2028_to_Sep2029,Bonus_Pct_Oct2029_onwards))))</f>
        <v>0.1</v>
      </c>
    </row>
    <row r="35" spans="1:12" x14ac:dyDescent="0.3">
      <c r="A35" s="35">
        <v>47239</v>
      </c>
      <c r="B35" s="36">
        <f t="shared" si="7"/>
        <v>4689.6200416666661</v>
      </c>
      <c r="C35" s="36">
        <f t="shared" si="8"/>
        <v>2731.8175000000001</v>
      </c>
      <c r="D35" s="36">
        <f>IF(OR($A35=DATE(2027,9,1),$A35=EDATE(DATE(2027,9,1),12),$A35=EDATE(DATE(2027,9,1),24)),(New_Hire_Stock_Grant_USD/3)/FX_USD_per_GBP*(1+IF(YEAR($A35)=2027,Inputs!$B$56,IF(YEAR($A35)=2028,Inputs!$B$57,IF(YEAR($A35)=2029,Inputs!$B$58,0)))),0)+IF(OR($A35=DATE(2028,11,1),$A35=DATE(2029,11,1),$A35=DATE(2030,11,1)),(RSU_Grant_Nov2027_USD/3)/FX_USD_per_GBP*(1+RSU_Price_Change_Pct)^(YEAR($A35)-2028),0)+IF(OR($A35=DATE(2029,11,1),$A35=DATE(2030,11,1)),(RSU_Grant_Nov2028_USD/3)/FX_USD_per_GBP*(1+RSU_Price_Change_Pct)^(YEAR($A35)-2029),0)+IF($A35=DATE(2030,11,1),(RSU_Grant_Nov2029_USD/3)/FX_USD_per_GBP*(1+RSU_Price_Change_Pct)^(YEAR($A35)-2030),0)</f>
        <v>0</v>
      </c>
      <c r="E35" s="36">
        <f>IF($A35=EDATE(DATE(2026,8,1),Inputs!$B$9),Inputs!$B$8,0)</f>
        <v>0</v>
      </c>
      <c r="F35" s="36">
        <f>IF($A35=EDATE(DATE(2026,8,1),Inputs!$B$11),Inputs!$B$10,0)</f>
        <v>0</v>
      </c>
      <c r="G35" s="36">
        <f>IF(Inputs!$B$16=1,((IF(YEAR($A35)=2026,Inputs!$B$2,IF(YEAR($A35)=2027,IF(MONTH($A35)&gt;=Inputs!#REF!,Inputs!$B$2*(1+Inputs!$B$4),Inputs!$B$2),IF(YEAR($A35)=2028,IF(MONTH($A35)&gt;=Inputs!#REF!,Inputs!$B$2*(1+Inputs!$B$4)*(1+Inputs!$B$5),Inputs!$B$2*(1+Inputs!$B$4)),IF(YEAR($A35)=2029,IF(MONTH($A35)&gt;=Inputs!#REF!,Inputs!$B$2*(1+Inputs!$B$4)*(1+Inputs!$B$5)*(1+Inputs!$B$6),Inputs!$B$2*(1+Inputs!$B$4)*(1+Inputs!$B$5)),IF(MONTH($A35)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5" s="36">
        <f t="shared" si="9"/>
        <v>7421.4375416666662</v>
      </c>
      <c r="I35" s="31">
        <f t="shared" si="10"/>
        <v>5184.2671074999989</v>
      </c>
      <c r="J35" s="29">
        <f t="shared" si="11"/>
        <v>1921.2416833333332</v>
      </c>
      <c r="K35" s="29">
        <f t="shared" si="12"/>
        <v>315.92875083333331</v>
      </c>
      <c r="L35">
        <f t="shared" si="13"/>
        <v>0.1</v>
      </c>
    </row>
    <row r="36" spans="1:12" x14ac:dyDescent="0.3">
      <c r="A36" s="35">
        <v>47270</v>
      </c>
      <c r="B36" s="36">
        <f t="shared" si="7"/>
        <v>4689.6200416666661</v>
      </c>
      <c r="C36" s="36">
        <f t="shared" si="8"/>
        <v>0</v>
      </c>
      <c r="D36" s="36">
        <f>IF(OR($A36=DATE(2027,9,1),$A36=EDATE(DATE(2027,9,1),12),$A36=EDATE(DATE(2027,9,1),24)),(New_Hire_Stock_Grant_USD/3)/FX_USD_per_GBP*(1+IF(YEAR($A36)=2027,Inputs!$B$56,IF(YEAR($A36)=2028,Inputs!$B$57,IF(YEAR($A36)=2029,Inputs!$B$58,0)))),0)+IF(OR($A36=DATE(2028,11,1),$A36=DATE(2029,11,1),$A36=DATE(2030,11,1)),(RSU_Grant_Nov2027_USD/3)/FX_USD_per_GBP*(1+RSU_Price_Change_Pct)^(YEAR($A36)-2028),0)+IF(OR($A36=DATE(2029,11,1),$A36=DATE(2030,11,1)),(RSU_Grant_Nov2028_USD/3)/FX_USD_per_GBP*(1+RSU_Price_Change_Pct)^(YEAR($A36)-2029),0)+IF($A36=DATE(2030,11,1),(RSU_Grant_Nov2029_USD/3)/FX_USD_per_GBP*(1+RSU_Price_Change_Pct)^(YEAR($A36)-2030),0)</f>
        <v>0</v>
      </c>
      <c r="E36" s="36">
        <f>IF($A36=EDATE(DATE(2026,8,1),Inputs!$B$9),Inputs!$B$8,0)</f>
        <v>0</v>
      </c>
      <c r="F36" s="36">
        <f>IF($A36=EDATE(DATE(2026,8,1),Inputs!$B$11),Inputs!$B$10,0)</f>
        <v>0</v>
      </c>
      <c r="G36" s="36">
        <f>IF(Inputs!$B$16=1,((IF(YEAR($A36)=2026,Inputs!$B$2,IF(YEAR($A36)=2027,IF(MONTH($A36)&gt;=Inputs!#REF!,Inputs!$B$2*(1+Inputs!$B$4),Inputs!$B$2),IF(YEAR($A36)=2028,IF(MONTH($A36)&gt;=Inputs!#REF!,Inputs!$B$2*(1+Inputs!$B$4)*(1+Inputs!$B$5),Inputs!$B$2*(1+Inputs!$B$4)),IF(YEAR($A36)=2029,IF(MONTH($A36)&gt;=Inputs!#REF!,Inputs!$B$2*(1+Inputs!$B$4)*(1+Inputs!$B$5)*(1+Inputs!$B$6),Inputs!$B$2*(1+Inputs!$B$4)*(1+Inputs!$B$5)),IF(MONTH($A36)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6" s="36">
        <f t="shared" si="9"/>
        <v>4689.6200416666661</v>
      </c>
      <c r="I36" s="31">
        <f t="shared" si="10"/>
        <v>3599.8129575000007</v>
      </c>
      <c r="J36" s="29">
        <f t="shared" si="11"/>
        <v>828.51468333333196</v>
      </c>
      <c r="K36" s="29">
        <f t="shared" si="12"/>
        <v>261.29240083333332</v>
      </c>
      <c r="L36">
        <f t="shared" si="13"/>
        <v>0.1</v>
      </c>
    </row>
    <row r="37" spans="1:12" x14ac:dyDescent="0.3">
      <c r="A37" s="35">
        <v>47300</v>
      </c>
      <c r="B37" s="36">
        <f t="shared" si="7"/>
        <v>4689.6200416666661</v>
      </c>
      <c r="C37" s="36">
        <f t="shared" si="8"/>
        <v>0</v>
      </c>
      <c r="D37" s="36">
        <f>IF(OR($A37=DATE(2027,9,1),$A37=EDATE(DATE(2027,9,1),12),$A37=EDATE(DATE(2027,9,1),24)),(New_Hire_Stock_Grant_USD/3)/FX_USD_per_GBP*(1+IF(YEAR($A37)=2027,Inputs!$B$56,IF(YEAR($A37)=2028,Inputs!$B$57,IF(YEAR($A37)=2029,Inputs!$B$58,0)))),0)+IF(OR($A37=DATE(2028,11,1),$A37=DATE(2029,11,1),$A37=DATE(2030,11,1)),(RSU_Grant_Nov2027_USD/3)/FX_USD_per_GBP*(1+RSU_Price_Change_Pct)^(YEAR($A37)-2028),0)+IF(OR($A37=DATE(2029,11,1),$A37=DATE(2030,11,1)),(RSU_Grant_Nov2028_USD/3)/FX_USD_per_GBP*(1+RSU_Price_Change_Pct)^(YEAR($A37)-2029),0)+IF($A37=DATE(2030,11,1),(RSU_Grant_Nov2029_USD/3)/FX_USD_per_GBP*(1+RSU_Price_Change_Pct)^(YEAR($A37)-2030),0)</f>
        <v>0</v>
      </c>
      <c r="E37" s="36">
        <f>IF($A37=EDATE(DATE(2026,8,1),Inputs!$B$9),Inputs!$B$8,0)</f>
        <v>0</v>
      </c>
      <c r="F37" s="36">
        <f>IF($A37=EDATE(DATE(2026,8,1),Inputs!$B$11),Inputs!$B$10,0)</f>
        <v>0</v>
      </c>
      <c r="G37" s="36">
        <f>IF(Inputs!$B$16=1,((IF(YEAR($A37)=2026,Inputs!$B$2,IF(YEAR($A37)=2027,IF(MONTH($A37)&gt;=Inputs!#REF!,Inputs!$B$2*(1+Inputs!$B$4),Inputs!$B$2),IF(YEAR($A37)=2028,IF(MONTH($A37)&gt;=Inputs!#REF!,Inputs!$B$2*(1+Inputs!$B$4)*(1+Inputs!$B$5),Inputs!$B$2*(1+Inputs!$B$4)),IF(YEAR($A37)=2029,IF(MONTH($A37)&gt;=Inputs!#REF!,Inputs!$B$2*(1+Inputs!$B$4)*(1+Inputs!$B$5)*(1+Inputs!$B$6),Inputs!$B$2*(1+Inputs!$B$4)*(1+Inputs!$B$5)),IF(MONTH($A37)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7" s="36">
        <f t="shared" si="9"/>
        <v>4689.6200416666661</v>
      </c>
      <c r="I37" s="31">
        <f t="shared" si="10"/>
        <v>3599.8129574999989</v>
      </c>
      <c r="J37" s="29">
        <f t="shared" si="11"/>
        <v>828.51468333333378</v>
      </c>
      <c r="K37" s="29">
        <f t="shared" si="12"/>
        <v>261.29240083333332</v>
      </c>
      <c r="L37">
        <f t="shared" si="13"/>
        <v>0.1</v>
      </c>
    </row>
    <row r="38" spans="1:12" x14ac:dyDescent="0.3">
      <c r="A38" s="35">
        <v>47331</v>
      </c>
      <c r="B38" s="36">
        <f t="shared" si="7"/>
        <v>4689.6200416666661</v>
      </c>
      <c r="C38" s="36">
        <f t="shared" si="8"/>
        <v>0</v>
      </c>
      <c r="D38" s="36">
        <f>IF(OR($A38=DATE(2027,9,1),$A38=EDATE(DATE(2027,9,1),12),$A38=EDATE(DATE(2027,9,1),24)),(New_Hire_Stock_Grant_USD/3)/FX_USD_per_GBP*(1+IF(YEAR($A38)=2027,Inputs!$B$56,IF(YEAR($A38)=2028,Inputs!$B$57,IF(YEAR($A38)=2029,Inputs!$B$58,0)))),0)+IF(OR($A38=DATE(2028,11,1),$A38=DATE(2029,11,1),$A38=DATE(2030,11,1)),(RSU_Grant_Nov2027_USD/3)/FX_USD_per_GBP*(1+RSU_Price_Change_Pct)^(YEAR($A38)-2028),0)+IF(OR($A38=DATE(2029,11,1),$A38=DATE(2030,11,1)),(RSU_Grant_Nov2028_USD/3)/FX_USD_per_GBP*(1+RSU_Price_Change_Pct)^(YEAR($A38)-2029),0)+IF($A38=DATE(2030,11,1),(RSU_Grant_Nov2029_USD/3)/FX_USD_per_GBP*(1+RSU_Price_Change_Pct)^(YEAR($A38)-2030),0)</f>
        <v>0</v>
      </c>
      <c r="E38" s="36">
        <f>IF($A38=EDATE(DATE(2026,8,1),Inputs!$B$9),Inputs!$B$8,0)</f>
        <v>0</v>
      </c>
      <c r="F38" s="36">
        <f>IF($A38=EDATE(DATE(2026,8,1),Inputs!$B$11),Inputs!$B$10,0)</f>
        <v>0</v>
      </c>
      <c r="G38" s="36">
        <f>IF(Inputs!$B$16=1,((IF(YEAR($A38)=2026,Inputs!$B$2,IF(YEAR($A38)=2027,IF(MONTH($A38)&gt;=Inputs!#REF!,Inputs!$B$2*(1+Inputs!$B$4),Inputs!$B$2),IF(YEAR($A38)=2028,IF(MONTH($A38)&gt;=Inputs!#REF!,Inputs!$B$2*(1+Inputs!$B$4)*(1+Inputs!$B$5),Inputs!$B$2*(1+Inputs!$B$4)),IF(YEAR($A38)=2029,IF(MONTH($A38)&gt;=Inputs!#REF!,Inputs!$B$2*(1+Inputs!$B$4)*(1+Inputs!$B$5)*(1+Inputs!$B$6),Inputs!$B$2*(1+Inputs!$B$4)*(1+Inputs!$B$5)),IF(MONTH($A38)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8" s="36">
        <f t="shared" si="9"/>
        <v>4689.6200416666661</v>
      </c>
      <c r="I38" s="31">
        <f t="shared" si="10"/>
        <v>3599.8129574999998</v>
      </c>
      <c r="J38" s="29">
        <f t="shared" si="11"/>
        <v>828.51468333333287</v>
      </c>
      <c r="K38" s="29">
        <f t="shared" si="12"/>
        <v>261.29240083333332</v>
      </c>
      <c r="L38">
        <f t="shared" si="13"/>
        <v>0.1</v>
      </c>
    </row>
    <row r="39" spans="1:12" x14ac:dyDescent="0.3">
      <c r="A39" s="35">
        <v>47362</v>
      </c>
      <c r="B39" s="36">
        <f t="shared" si="7"/>
        <v>4689.6200416666661</v>
      </c>
      <c r="C39" s="36">
        <f t="shared" si="8"/>
        <v>0</v>
      </c>
      <c r="D39" s="36">
        <f>IF(OR($A39=DATE(2027,9,1),$A39=EDATE(DATE(2027,9,1),12),$A39=EDATE(DATE(2027,9,1),24)),(New_Hire_Stock_Grant_USD/3)/FX_USD_per_GBP*(1+IF(YEAR($A39)=2027,Inputs!$B$56,IF(YEAR($A39)=2028,Inputs!$B$57,IF(YEAR($A39)=2029,Inputs!$B$58,0)))),0)+IF(OR($A39=DATE(2028,11,1),$A39=DATE(2029,11,1),$A39=DATE(2030,11,1)),(RSU_Grant_Nov2027_USD/3)/FX_USD_per_GBP*(1+RSU_Price_Change_Pct)^(YEAR($A39)-2028),0)+IF(OR($A39=DATE(2029,11,1),$A39=DATE(2030,11,1)),(RSU_Grant_Nov2028_USD/3)/FX_USD_per_GBP*(1+RSU_Price_Change_Pct)^(YEAR($A39)-2029),0)+IF($A39=DATE(2030,11,1),(RSU_Grant_Nov2029_USD/3)/FX_USD_per_GBP*(1+RSU_Price_Change_Pct)^(YEAR($A39)-2030),0)</f>
        <v>7352.9411764705874</v>
      </c>
      <c r="E39" s="36">
        <f>IF($A39=EDATE(DATE(2026,8,1),Inputs!$B$9),Inputs!$B$8,0)</f>
        <v>0</v>
      </c>
      <c r="F39" s="36">
        <f>IF($A39=EDATE(DATE(2026,8,1),Inputs!$B$11),Inputs!$B$10,0)</f>
        <v>0</v>
      </c>
      <c r="G39" s="36">
        <f>IF(Inputs!$B$16=1,((IF(YEAR($A39)=2026,Inputs!$B$2,IF(YEAR($A39)=2027,IF(MONTH($A39)&gt;=Inputs!#REF!,Inputs!$B$2*(1+Inputs!$B$4),Inputs!$B$2),IF(YEAR($A39)=2028,IF(MONTH($A39)&gt;=Inputs!#REF!,Inputs!$B$2*(1+Inputs!$B$4)*(1+Inputs!$B$5),Inputs!$B$2*(1+Inputs!$B$4)),IF(YEAR($A39)=2029,IF(MONTH($A39)&gt;=Inputs!#REF!,Inputs!$B$2*(1+Inputs!$B$4)*(1+Inputs!$B$5)*(1+Inputs!$B$6),Inputs!$B$2*(1+Inputs!$B$4)*(1+Inputs!$B$5)),IF(MONTH($A39)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39" s="36">
        <f t="shared" si="9"/>
        <v>12042.561218137253</v>
      </c>
      <c r="I39" s="31">
        <f t="shared" si="10"/>
        <v>7864.5188398529426</v>
      </c>
      <c r="J39" s="29">
        <f t="shared" si="11"/>
        <v>3769.6911539215653</v>
      </c>
      <c r="K39" s="29">
        <f t="shared" si="12"/>
        <v>408.35122436274503</v>
      </c>
      <c r="L39">
        <f t="shared" si="13"/>
        <v>0.1</v>
      </c>
    </row>
    <row r="40" spans="1:12" x14ac:dyDescent="0.3">
      <c r="A40" s="35">
        <v>47392</v>
      </c>
      <c r="B40" s="36">
        <f t="shared" si="7"/>
        <v>4689.6200416666661</v>
      </c>
      <c r="C40" s="36">
        <f t="shared" si="8"/>
        <v>0</v>
      </c>
      <c r="D40" s="36">
        <f>IF(OR($A40=DATE(2027,9,1),$A40=EDATE(DATE(2027,9,1),12),$A40=EDATE(DATE(2027,9,1),24)),(New_Hire_Stock_Grant_USD/3)/FX_USD_per_GBP*(1+IF(YEAR($A40)=2027,Inputs!$B$56,IF(YEAR($A40)=2028,Inputs!$B$57,IF(YEAR($A40)=2029,Inputs!$B$58,0)))),0)+IF(OR($A40=DATE(2028,11,1),$A40=DATE(2029,11,1),$A40=DATE(2030,11,1)),(RSU_Grant_Nov2027_USD/3)/FX_USD_per_GBP*(1+RSU_Price_Change_Pct)^(YEAR($A40)-2028),0)+IF(OR($A40=DATE(2029,11,1),$A40=DATE(2030,11,1)),(RSU_Grant_Nov2028_USD/3)/FX_USD_per_GBP*(1+RSU_Price_Change_Pct)^(YEAR($A40)-2029),0)+IF($A40=DATE(2030,11,1),(RSU_Grant_Nov2029_USD/3)/FX_USD_per_GBP*(1+RSU_Price_Change_Pct)^(YEAR($A40)-2030),0)</f>
        <v>0</v>
      </c>
      <c r="E40" s="36">
        <f>IF($A40=EDATE(DATE(2026,8,1),Inputs!$B$9),Inputs!$B$8,0)</f>
        <v>0</v>
      </c>
      <c r="F40" s="36">
        <f>IF($A40=EDATE(DATE(2026,8,1),Inputs!$B$11),Inputs!$B$10,0)</f>
        <v>0</v>
      </c>
      <c r="G40" s="36">
        <f>IF(Inputs!$B$16=1,((IF(YEAR($A40)=2026,Inputs!$B$2,IF(YEAR($A40)=2027,IF(MONTH($A40)&gt;=Inputs!#REF!,Inputs!$B$2*(1+Inputs!$B$4),Inputs!$B$2),IF(YEAR($A40)=2028,IF(MONTH($A40)&gt;=Inputs!#REF!,Inputs!$B$2*(1+Inputs!$B$4)*(1+Inputs!$B$5),Inputs!$B$2*(1+Inputs!$B$4)),IF(YEAR($A40)=2029,IF(MONTH($A40)&gt;=Inputs!#REF!,Inputs!$B$2*(1+Inputs!$B$4)*(1+Inputs!$B$5)*(1+Inputs!$B$6),Inputs!$B$2*(1+Inputs!$B$4)*(1+Inputs!$B$5)),IF(MONTH($A40)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0" s="36">
        <f t="shared" si="9"/>
        <v>4689.6200416666661</v>
      </c>
      <c r="I40" s="31">
        <f t="shared" si="10"/>
        <v>3599.812957499998</v>
      </c>
      <c r="J40" s="29">
        <f t="shared" si="11"/>
        <v>828.51468333333469</v>
      </c>
      <c r="K40" s="29">
        <f t="shared" si="12"/>
        <v>261.29240083333332</v>
      </c>
      <c r="L40">
        <f t="shared" si="13"/>
        <v>0.1</v>
      </c>
    </row>
    <row r="41" spans="1:12" x14ac:dyDescent="0.3">
      <c r="A41" s="35">
        <v>47423</v>
      </c>
      <c r="B41" s="36">
        <f t="shared" si="7"/>
        <v>4689.6200416666661</v>
      </c>
      <c r="C41" s="36">
        <f t="shared" si="8"/>
        <v>2813.7720250000002</v>
      </c>
      <c r="D41" s="36">
        <f>IF(OR($A41=DATE(2027,9,1),$A41=EDATE(DATE(2027,9,1),12),$A41=EDATE(DATE(2027,9,1),24)),(New_Hire_Stock_Grant_USD/3)/FX_USD_per_GBP*(1+IF(YEAR($A41)=2027,Inputs!$B$56,IF(YEAR($A41)=2028,Inputs!$B$57,IF(YEAR($A41)=2029,Inputs!$B$58,0)))),0)+IF(OR($A41=DATE(2028,11,1),$A41=DATE(2029,11,1),$A41=DATE(2030,11,1)),(RSU_Grant_Nov2027_USD/3)/FX_USD_per_GBP*(1+RSU_Price_Change_Pct)^(YEAR($A41)-2028),0)+IF(OR($A41=DATE(2029,11,1),$A41=DATE(2030,11,1)),(RSU_Grant_Nov2028_USD/3)/FX_USD_per_GBP*(1+RSU_Price_Change_Pct)^(YEAR($A41)-2029),0)+IF($A41=DATE(2030,11,1),(RSU_Grant_Nov2029_USD/3)/FX_USD_per_GBP*(1+RSU_Price_Change_Pct)^(YEAR($A41)-2030),0)</f>
        <v>0</v>
      </c>
      <c r="E41" s="36">
        <f>IF($A41=EDATE(DATE(2026,8,1),Inputs!$B$9),Inputs!$B$8,0)</f>
        <v>0</v>
      </c>
      <c r="F41" s="36">
        <f>IF($A41=EDATE(DATE(2026,8,1),Inputs!$B$11),Inputs!$B$10,0)</f>
        <v>0</v>
      </c>
      <c r="G41" s="36">
        <f>IF(Inputs!$B$16=1,((IF(YEAR($A41)=2026,Inputs!$B$2,IF(YEAR($A41)=2027,IF(MONTH($A41)&gt;=Inputs!#REF!,Inputs!$B$2*(1+Inputs!$B$4),Inputs!$B$2),IF(YEAR($A41)=2028,IF(MONTH($A41)&gt;=Inputs!#REF!,Inputs!$B$2*(1+Inputs!$B$4)*(1+Inputs!$B$5),Inputs!$B$2*(1+Inputs!$B$4)),IF(YEAR($A41)=2029,IF(MONTH($A41)&gt;=Inputs!#REF!,Inputs!$B$2*(1+Inputs!$B$4)*(1+Inputs!$B$5)*(1+Inputs!$B$6),Inputs!$B$2*(1+Inputs!$B$4)*(1+Inputs!$B$5)),IF(MONTH($A41)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1" s="36">
        <f t="shared" si="9"/>
        <v>7503.3920666666663</v>
      </c>
      <c r="I41" s="31">
        <f t="shared" si="10"/>
        <v>5231.8007319999988</v>
      </c>
      <c r="J41" s="29">
        <f t="shared" si="11"/>
        <v>1954.023493333334</v>
      </c>
      <c r="K41" s="29">
        <f t="shared" si="12"/>
        <v>317.56784133333332</v>
      </c>
      <c r="L41">
        <f t="shared" si="13"/>
        <v>0.1</v>
      </c>
    </row>
    <row r="42" spans="1:12" ht="15" customHeight="1" thickBot="1" x14ac:dyDescent="0.35">
      <c r="A42" s="37">
        <v>47453</v>
      </c>
      <c r="B42" s="38">
        <f t="shared" si="7"/>
        <v>4689.6200416666661</v>
      </c>
      <c r="C42" s="39">
        <f t="shared" si="8"/>
        <v>0</v>
      </c>
      <c r="D42" s="38">
        <f>IF(OR($A42=DATE(2027,9,1),$A42=EDATE(DATE(2027,9,1),12),$A42=EDATE(DATE(2027,9,1),24)),(New_Hire_Stock_Grant_USD/3)/FX_USD_per_GBP*(1+IF(YEAR($A42)=2027,Inputs!$B$56,IF(YEAR($A42)=2028,Inputs!$B$57,IF(YEAR($A42)=2029,Inputs!$B$58,0)))),0)+IF(OR($A42=DATE(2028,11,1),$A42=DATE(2029,11,1),$A42=DATE(2030,11,1)),(RSU_Grant_Nov2027_USD/3)/FX_USD_per_GBP*(1+RSU_Price_Change_Pct)^(YEAR($A42)-2028),0)+IF(OR($A42=DATE(2029,11,1),$A42=DATE(2030,11,1)),(RSU_Grant_Nov2028_USD/3)/FX_USD_per_GBP*(1+RSU_Price_Change_Pct)^(YEAR($A42)-2029),0)+IF($A42=DATE(2030,11,1),(RSU_Grant_Nov2029_USD/3)/FX_USD_per_GBP*(1+RSU_Price_Change_Pct)^(YEAR($A42)-2030),0)</f>
        <v>0</v>
      </c>
      <c r="E42" s="38">
        <f>IF($A42=EDATE(DATE(2026,8,1),Inputs!$B$9),Inputs!$B$8,0)</f>
        <v>0</v>
      </c>
      <c r="F42" s="38">
        <f>IF($A42=EDATE(DATE(2026,8,1),Inputs!$B$11),Inputs!$B$10,0)</f>
        <v>0</v>
      </c>
      <c r="G42" s="38">
        <f>IF(Inputs!$B$16=1,((IF(YEAR($A42)=2026,Inputs!$B$2,IF(YEAR($A42)=2027,IF(MONTH($A42)&gt;=Inputs!#REF!,Inputs!$B$2*(1+Inputs!$B$4),Inputs!$B$2),IF(YEAR($A42)=2028,IF(MONTH($A42)&gt;=Inputs!#REF!,Inputs!$B$2*(1+Inputs!$B$4)*(1+Inputs!$B$5),Inputs!$B$2*(1+Inputs!$B$4)),IF(YEAR($A42)=2029,IF(MONTH($A42)&gt;=Inputs!#REF!,Inputs!$B$2*(1+Inputs!$B$4)*(1+Inputs!$B$5)*(1+Inputs!$B$6),Inputs!$B$2*(1+Inputs!$B$4)*(1+Inputs!$B$5)),IF(MONTH($A42)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2" s="38">
        <f t="shared" si="9"/>
        <v>4689.6200416666661</v>
      </c>
      <c r="I42" s="31">
        <f t="shared" si="10"/>
        <v>3599.812957499998</v>
      </c>
      <c r="J42" s="29">
        <f t="shared" si="11"/>
        <v>828.51468333333469</v>
      </c>
      <c r="K42" s="29">
        <f t="shared" si="12"/>
        <v>261.29240083333332</v>
      </c>
      <c r="L42">
        <f t="shared" si="13"/>
        <v>0.1</v>
      </c>
    </row>
    <row r="43" spans="1:12" ht="15" customHeight="1" thickTop="1" x14ac:dyDescent="0.3">
      <c r="A43" s="35">
        <v>47484</v>
      </c>
      <c r="B43" s="36">
        <f t="shared" si="7"/>
        <v>4689.620041666667</v>
      </c>
      <c r="C43" s="40">
        <f t="shared" si="8"/>
        <v>0</v>
      </c>
      <c r="D43" s="36">
        <f>IF(OR($A43=DATE(2027,9,1),$A43=EDATE(DATE(2027,9,1),12),$A43=EDATE(DATE(2027,9,1),24)),(New_Hire_Stock_Grant_USD/3)/FX_USD_per_GBP*(1+IF(YEAR($A43)=2027,Inputs!$B$56,IF(YEAR($A43)=2028,Inputs!$B$57,IF(YEAR($A43)=2029,Inputs!$B$58,0)))),0)+IF(OR($A43=DATE(2028,11,1),$A43=DATE(2029,11,1),$A43=DATE(2030,11,1)),(RSU_Grant_Nov2027_USD/3)/FX_USD_per_GBP*(1+RSU_Price_Change_Pct)^(YEAR($A43)-2028),0)+IF(OR($A43=DATE(2029,11,1),$A43=DATE(2030,11,1)),(RSU_Grant_Nov2028_USD/3)/FX_USD_per_GBP*(1+RSU_Price_Change_Pct)^(YEAR($A43)-2029),0)+IF($A43=DATE(2030,11,1),(RSU_Grant_Nov2029_USD/3)/FX_USD_per_GBP*(1+RSU_Price_Change_Pct)^(YEAR($A43)-2030),0)</f>
        <v>0</v>
      </c>
      <c r="E43" s="36">
        <f>IF($A43=EDATE(DATE(2026,8,1),Inputs!$B$9),Inputs!$B$8,0)</f>
        <v>0</v>
      </c>
      <c r="F43" s="36">
        <f>IF($A43=EDATE(DATE(2026,8,1),Inputs!$B$11),Inputs!$B$10,0)</f>
        <v>0</v>
      </c>
      <c r="G43" s="36">
        <f>IF(Inputs!$B$16=1,((IF(YEAR($A43)=2026,Inputs!$B$2,IF(YEAR($A43)=2027,IF(MONTH($A43)&gt;=Inputs!#REF!,Inputs!$B$2*(1+Inputs!$B$4),Inputs!$B$2),IF(YEAR($A43)=2028,IF(MONTH($A43)&gt;=Inputs!#REF!,Inputs!$B$2*(1+Inputs!$B$4)*(1+Inputs!$B$5),Inputs!$B$2*(1+Inputs!$B$4)),IF(YEAR($A43)=2029,IF(MONTH($A43)&gt;=Inputs!#REF!,Inputs!$B$2*(1+Inputs!$B$4)*(1+Inputs!$B$5)*(1+Inputs!$B$6),Inputs!$B$2*(1+Inputs!$B$4)*(1+Inputs!$B$5)),IF(MONTH($A43)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3" s="36">
        <f t="shared" si="9"/>
        <v>4689.620041666667</v>
      </c>
      <c r="I43" s="31">
        <f t="shared" si="10"/>
        <v>3599.8129574999989</v>
      </c>
      <c r="J43" s="29">
        <f t="shared" si="11"/>
        <v>828.51468333333469</v>
      </c>
      <c r="K43" s="29">
        <f t="shared" si="12"/>
        <v>261.29240083333332</v>
      </c>
      <c r="L43">
        <f t="shared" si="13"/>
        <v>0.1</v>
      </c>
    </row>
    <row r="44" spans="1:12" x14ac:dyDescent="0.3">
      <c r="A44" s="35">
        <v>47515</v>
      </c>
      <c r="B44" s="36">
        <f t="shared" si="7"/>
        <v>4689.620041666667</v>
      </c>
      <c r="C44" s="36">
        <f t="shared" si="8"/>
        <v>0</v>
      </c>
      <c r="D44" s="36">
        <f>IF(OR($A44=DATE(2027,9,1),$A44=EDATE(DATE(2027,9,1),12),$A44=EDATE(DATE(2027,9,1),24)),(New_Hire_Stock_Grant_USD/3)/FX_USD_per_GBP*(1+IF(YEAR($A44)=2027,Inputs!$B$56,IF(YEAR($A44)=2028,Inputs!$B$57,IF(YEAR($A44)=2029,Inputs!$B$58,0)))),0)+IF(OR($A44=DATE(2028,11,1),$A44=DATE(2029,11,1),$A44=DATE(2030,11,1)),(RSU_Grant_Nov2027_USD/3)/FX_USD_per_GBP*(1+RSU_Price_Change_Pct)^(YEAR($A44)-2028),0)+IF(OR($A44=DATE(2029,11,1),$A44=DATE(2030,11,1)),(RSU_Grant_Nov2028_USD/3)/FX_USD_per_GBP*(1+RSU_Price_Change_Pct)^(YEAR($A44)-2029),0)+IF($A44=DATE(2030,11,1),(RSU_Grant_Nov2029_USD/3)/FX_USD_per_GBP*(1+RSU_Price_Change_Pct)^(YEAR($A44)-2030),0)</f>
        <v>0</v>
      </c>
      <c r="E44" s="36">
        <f>IF($A44=EDATE(DATE(2026,8,1),Inputs!$B$9),Inputs!$B$8,0)</f>
        <v>0</v>
      </c>
      <c r="F44" s="36">
        <f>IF($A44=EDATE(DATE(2026,8,1),Inputs!$B$11),Inputs!$B$10,0)</f>
        <v>0</v>
      </c>
      <c r="G44" s="36">
        <f>IF(Inputs!$B$16=1,((IF(YEAR($A44)=2026,Inputs!$B$2,IF(YEAR($A44)=2027,IF(MONTH($A44)&gt;=Inputs!#REF!,Inputs!$B$2*(1+Inputs!$B$4),Inputs!$B$2),IF(YEAR($A44)=2028,IF(MONTH($A44)&gt;=Inputs!#REF!,Inputs!$B$2*(1+Inputs!$B$4)*(1+Inputs!$B$5),Inputs!$B$2*(1+Inputs!$B$4)),IF(YEAR($A44)=2029,IF(MONTH($A44)&gt;=Inputs!#REF!,Inputs!$B$2*(1+Inputs!$B$4)*(1+Inputs!$B$5)*(1+Inputs!$B$6),Inputs!$B$2*(1+Inputs!$B$4)*(1+Inputs!$B$5)),IF(MONTH($A44)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4" s="36">
        <f t="shared" si="9"/>
        <v>4689.620041666667</v>
      </c>
      <c r="I44" s="31">
        <f t="shared" si="10"/>
        <v>3599.8129574999989</v>
      </c>
      <c r="J44" s="29">
        <f t="shared" si="11"/>
        <v>828.51468333333469</v>
      </c>
      <c r="K44" s="29">
        <f t="shared" si="12"/>
        <v>261.29240083333332</v>
      </c>
      <c r="L44">
        <f t="shared" si="13"/>
        <v>0.1</v>
      </c>
    </row>
    <row r="45" spans="1:12" x14ac:dyDescent="0.3">
      <c r="A45" s="35">
        <v>47543</v>
      </c>
      <c r="B45" s="36">
        <f t="shared" si="7"/>
        <v>4689.620041666667</v>
      </c>
      <c r="C45" s="36">
        <f t="shared" si="8"/>
        <v>0</v>
      </c>
      <c r="D45" s="36">
        <f>IF(OR($A45=DATE(2027,9,1),$A45=EDATE(DATE(2027,9,1),12),$A45=EDATE(DATE(2027,9,1),24)),(New_Hire_Stock_Grant_USD/3)/FX_USD_per_GBP*(1+IF(YEAR($A45)=2027,Inputs!$B$56,IF(YEAR($A45)=2028,Inputs!$B$57,IF(YEAR($A45)=2029,Inputs!$B$58,0)))),0)+IF(OR($A45=DATE(2028,11,1),$A45=DATE(2029,11,1),$A45=DATE(2030,11,1)),(RSU_Grant_Nov2027_USD/3)/FX_USD_per_GBP*(1+RSU_Price_Change_Pct)^(YEAR($A45)-2028),0)+IF(OR($A45=DATE(2029,11,1),$A45=DATE(2030,11,1)),(RSU_Grant_Nov2028_USD/3)/FX_USD_per_GBP*(1+RSU_Price_Change_Pct)^(YEAR($A45)-2029),0)+IF($A45=DATE(2030,11,1),(RSU_Grant_Nov2029_USD/3)/FX_USD_per_GBP*(1+RSU_Price_Change_Pct)^(YEAR($A45)-2030),0)</f>
        <v>0</v>
      </c>
      <c r="E45" s="36">
        <f>IF($A45=EDATE(DATE(2026,8,1),Inputs!$B$9),Inputs!$B$8,0)</f>
        <v>0</v>
      </c>
      <c r="F45" s="36">
        <f>IF($A45=EDATE(DATE(2026,8,1),Inputs!$B$11),Inputs!$B$10,0)</f>
        <v>0</v>
      </c>
      <c r="G45" s="36">
        <f>IF(Inputs!$B$16=1,((IF(YEAR($A45)=2026,Inputs!$B$2,IF(YEAR($A45)=2027,IF(MONTH($A45)&gt;=Inputs!#REF!,Inputs!$B$2*(1+Inputs!$B$4),Inputs!$B$2),IF(YEAR($A45)=2028,IF(MONTH($A45)&gt;=Inputs!#REF!,Inputs!$B$2*(1+Inputs!$B$4)*(1+Inputs!$B$5),Inputs!$B$2*(1+Inputs!$B$4)),IF(YEAR($A45)=2029,IF(MONTH($A45)&gt;=Inputs!#REF!,Inputs!$B$2*(1+Inputs!$B$4)*(1+Inputs!$B$5)*(1+Inputs!$B$6),Inputs!$B$2*(1+Inputs!$B$4)*(1+Inputs!$B$5)),IF(MONTH($A45)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5" s="36">
        <f t="shared" si="9"/>
        <v>4689.620041666667</v>
      </c>
      <c r="I45" s="31">
        <f t="shared" si="10"/>
        <v>3599.8129575000025</v>
      </c>
      <c r="J45" s="29">
        <f t="shared" si="11"/>
        <v>828.51468333333105</v>
      </c>
      <c r="K45" s="29">
        <f t="shared" si="12"/>
        <v>261.29240083333332</v>
      </c>
      <c r="L45">
        <f t="shared" si="13"/>
        <v>0.1</v>
      </c>
    </row>
    <row r="46" spans="1:12" x14ac:dyDescent="0.3">
      <c r="A46" s="35">
        <v>47574</v>
      </c>
      <c r="B46" s="36">
        <f t="shared" si="7"/>
        <v>4830.3086429166669</v>
      </c>
      <c r="C46" s="36">
        <f t="shared" si="8"/>
        <v>0</v>
      </c>
      <c r="D46" s="36">
        <f>IF(OR($A46=DATE(2027,9,1),$A46=EDATE(DATE(2027,9,1),12),$A46=EDATE(DATE(2027,9,1),24)),(New_Hire_Stock_Grant_USD/3)/FX_USD_per_GBP*(1+IF(YEAR($A46)=2027,Inputs!$B$56,IF(YEAR($A46)=2028,Inputs!$B$57,IF(YEAR($A46)=2029,Inputs!$B$58,0)))),0)+IF(OR($A46=DATE(2028,11,1),$A46=DATE(2029,11,1),$A46=DATE(2030,11,1)),(RSU_Grant_Nov2027_USD/3)/FX_USD_per_GBP*(1+RSU_Price_Change_Pct)^(YEAR($A46)-2028),0)+IF(OR($A46=DATE(2029,11,1),$A46=DATE(2030,11,1)),(RSU_Grant_Nov2028_USD/3)/FX_USD_per_GBP*(1+RSU_Price_Change_Pct)^(YEAR($A46)-2029),0)+IF($A46=DATE(2030,11,1),(RSU_Grant_Nov2029_USD/3)/FX_USD_per_GBP*(1+RSU_Price_Change_Pct)^(YEAR($A46)-2030),0)</f>
        <v>0</v>
      </c>
      <c r="E46" s="36">
        <f>IF($A46=EDATE(DATE(2026,8,1),Inputs!$B$9),Inputs!$B$8,0)</f>
        <v>0</v>
      </c>
      <c r="F46" s="36">
        <f>IF($A46=EDATE(DATE(2026,8,1),Inputs!$B$11),Inputs!$B$10,0)</f>
        <v>0</v>
      </c>
      <c r="G46" s="36">
        <f>IF(Inputs!$B$16=1,((IF(YEAR($A46)=2026,Inputs!$B$2,IF(YEAR($A46)=2027,IF(MONTH($A46)&gt;=Inputs!#REF!,Inputs!$B$2*(1+Inputs!$B$4),Inputs!$B$2),IF(YEAR($A46)=2028,IF(MONTH($A46)&gt;=Inputs!#REF!,Inputs!$B$2*(1+Inputs!$B$4)*(1+Inputs!$B$5),Inputs!$B$2*(1+Inputs!$B$4)),IF(YEAR($A46)=2029,IF(MONTH($A46)&gt;=Inputs!#REF!,Inputs!$B$2*(1+Inputs!$B$4)*(1+Inputs!$B$5)*(1+Inputs!$B$6),Inputs!$B$2*(1+Inputs!$B$4)*(1+Inputs!$B$5)),IF(MONTH($A46)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6" s="36">
        <f t="shared" si="9"/>
        <v>4830.3086429166669</v>
      </c>
      <c r="I46" s="31">
        <f t="shared" si="10"/>
        <v>3681.412346225</v>
      </c>
      <c r="J46" s="29">
        <f t="shared" si="11"/>
        <v>884.79012383333361</v>
      </c>
      <c r="K46" s="29">
        <f t="shared" si="12"/>
        <v>264.10617285833337</v>
      </c>
      <c r="L46">
        <f t="shared" si="13"/>
        <v>0.1</v>
      </c>
    </row>
    <row r="47" spans="1:12" x14ac:dyDescent="0.3">
      <c r="A47" s="35">
        <v>47604</v>
      </c>
      <c r="B47" s="36">
        <f t="shared" si="7"/>
        <v>4830.3086429166669</v>
      </c>
      <c r="C47" s="36">
        <f t="shared" si="8"/>
        <v>2813.7720250000002</v>
      </c>
      <c r="D47" s="36">
        <f>IF(OR($A47=DATE(2027,9,1),$A47=EDATE(DATE(2027,9,1),12),$A47=EDATE(DATE(2027,9,1),24)),(New_Hire_Stock_Grant_USD/3)/FX_USD_per_GBP*(1+IF(YEAR($A47)=2027,Inputs!$B$56,IF(YEAR($A47)=2028,Inputs!$B$57,IF(YEAR($A47)=2029,Inputs!$B$58,0)))),0)+IF(OR($A47=DATE(2028,11,1),$A47=DATE(2029,11,1),$A47=DATE(2030,11,1)),(RSU_Grant_Nov2027_USD/3)/FX_USD_per_GBP*(1+RSU_Price_Change_Pct)^(YEAR($A47)-2028),0)+IF(OR($A47=DATE(2029,11,1),$A47=DATE(2030,11,1)),(RSU_Grant_Nov2028_USD/3)/FX_USD_per_GBP*(1+RSU_Price_Change_Pct)^(YEAR($A47)-2029),0)+IF($A47=DATE(2030,11,1),(RSU_Grant_Nov2029_USD/3)/FX_USD_per_GBP*(1+RSU_Price_Change_Pct)^(YEAR($A47)-2030),0)</f>
        <v>0</v>
      </c>
      <c r="E47" s="36">
        <f>IF($A47=EDATE(DATE(2026,8,1),Inputs!$B$9),Inputs!$B$8,0)</f>
        <v>0</v>
      </c>
      <c r="F47" s="36">
        <f>IF($A47=EDATE(DATE(2026,8,1),Inputs!$B$11),Inputs!$B$10,0)</f>
        <v>0</v>
      </c>
      <c r="G47" s="36">
        <f>IF(Inputs!$B$16=1,((IF(YEAR($A47)=2026,Inputs!$B$2,IF(YEAR($A47)=2027,IF(MONTH($A47)&gt;=Inputs!#REF!,Inputs!$B$2*(1+Inputs!$B$4),Inputs!$B$2),IF(YEAR($A47)=2028,IF(MONTH($A47)&gt;=Inputs!#REF!,Inputs!$B$2*(1+Inputs!$B$4)*(1+Inputs!$B$5),Inputs!$B$2*(1+Inputs!$B$4)),IF(YEAR($A47)=2029,IF(MONTH($A47)&gt;=Inputs!#REF!,Inputs!$B$2*(1+Inputs!$B$4)*(1+Inputs!$B$5)*(1+Inputs!$B$6),Inputs!$B$2*(1+Inputs!$B$4)*(1+Inputs!$B$5)),IF(MONTH($A47)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7" s="36">
        <f t="shared" si="9"/>
        <v>7644.0806679166672</v>
      </c>
      <c r="I47" s="31">
        <f t="shared" si="10"/>
        <v>5313.4001207250003</v>
      </c>
      <c r="J47" s="29">
        <f t="shared" si="11"/>
        <v>2010.2989338333334</v>
      </c>
      <c r="K47" s="29">
        <f t="shared" si="12"/>
        <v>320.38161335833331</v>
      </c>
      <c r="L47">
        <f t="shared" si="13"/>
        <v>0.1</v>
      </c>
    </row>
    <row r="48" spans="1:12" x14ac:dyDescent="0.3">
      <c r="A48" s="35">
        <v>47635</v>
      </c>
      <c r="B48" s="36">
        <f t="shared" si="7"/>
        <v>4830.3086429166669</v>
      </c>
      <c r="C48" s="36">
        <f t="shared" si="8"/>
        <v>0</v>
      </c>
      <c r="D48" s="36">
        <f>IF(OR($A48=DATE(2027,9,1),$A48=EDATE(DATE(2027,9,1),12),$A48=EDATE(DATE(2027,9,1),24)),(New_Hire_Stock_Grant_USD/3)/FX_USD_per_GBP*(1+IF(YEAR($A48)=2027,Inputs!$B$56,IF(YEAR($A48)=2028,Inputs!$B$57,IF(YEAR($A48)=2029,Inputs!$B$58,0)))),0)+IF(OR($A48=DATE(2028,11,1),$A48=DATE(2029,11,1),$A48=DATE(2030,11,1)),(RSU_Grant_Nov2027_USD/3)/FX_USD_per_GBP*(1+RSU_Price_Change_Pct)^(YEAR($A48)-2028),0)+IF(OR($A48=DATE(2029,11,1),$A48=DATE(2030,11,1)),(RSU_Grant_Nov2028_USD/3)/FX_USD_per_GBP*(1+RSU_Price_Change_Pct)^(YEAR($A48)-2029),0)+IF($A48=DATE(2030,11,1),(RSU_Grant_Nov2029_USD/3)/FX_USD_per_GBP*(1+RSU_Price_Change_Pct)^(YEAR($A48)-2030),0)</f>
        <v>0</v>
      </c>
      <c r="E48" s="36">
        <f>IF($A48=EDATE(DATE(2026,8,1),Inputs!$B$9),Inputs!$B$8,0)</f>
        <v>0</v>
      </c>
      <c r="F48" s="36">
        <f>IF($A48=EDATE(DATE(2026,8,1),Inputs!$B$11),Inputs!$B$10,0)</f>
        <v>0</v>
      </c>
      <c r="G48" s="36">
        <f>IF(Inputs!$B$16=1,((IF(YEAR($A48)=2026,Inputs!$B$2,IF(YEAR($A48)=2027,IF(MONTH($A48)&gt;=Inputs!#REF!,Inputs!$B$2*(1+Inputs!$B$4),Inputs!$B$2),IF(YEAR($A48)=2028,IF(MONTH($A48)&gt;=Inputs!#REF!,Inputs!$B$2*(1+Inputs!$B$4)*(1+Inputs!$B$5),Inputs!$B$2*(1+Inputs!$B$4)),IF(YEAR($A48)=2029,IF(MONTH($A48)&gt;=Inputs!#REF!,Inputs!$B$2*(1+Inputs!$B$4)*(1+Inputs!$B$5)*(1+Inputs!$B$6),Inputs!$B$2*(1+Inputs!$B$4)*(1+Inputs!$B$5)),IF(MONTH($A48)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8" s="36">
        <f t="shared" si="9"/>
        <v>4830.3086429166669</v>
      </c>
      <c r="I48" s="31">
        <f t="shared" si="10"/>
        <v>3681.412346225</v>
      </c>
      <c r="J48" s="29">
        <f t="shared" si="11"/>
        <v>884.79012383333338</v>
      </c>
      <c r="K48" s="29">
        <f t="shared" si="12"/>
        <v>264.10617285833337</v>
      </c>
      <c r="L48">
        <f t="shared" si="13"/>
        <v>0.1</v>
      </c>
    </row>
    <row r="49" spans="1:12" x14ac:dyDescent="0.3">
      <c r="A49" s="35">
        <v>47665</v>
      </c>
      <c r="B49" s="36">
        <f t="shared" si="7"/>
        <v>4830.3086429166669</v>
      </c>
      <c r="C49" s="36">
        <f t="shared" si="8"/>
        <v>0</v>
      </c>
      <c r="D49" s="36">
        <f>IF(OR($A49=DATE(2027,9,1),$A49=EDATE(DATE(2027,9,1),12),$A49=EDATE(DATE(2027,9,1),24)),(New_Hire_Stock_Grant_USD/3)/FX_USD_per_GBP*(1+IF(YEAR($A49)=2027,Inputs!$B$56,IF(YEAR($A49)=2028,Inputs!$B$57,IF(YEAR($A49)=2029,Inputs!$B$58,0)))),0)+IF(OR($A49=DATE(2028,11,1),$A49=DATE(2029,11,1),$A49=DATE(2030,11,1)),(RSU_Grant_Nov2027_USD/3)/FX_USD_per_GBP*(1+RSU_Price_Change_Pct)^(YEAR($A49)-2028),0)+IF(OR($A49=DATE(2029,11,1),$A49=DATE(2030,11,1)),(RSU_Grant_Nov2028_USD/3)/FX_USD_per_GBP*(1+RSU_Price_Change_Pct)^(YEAR($A49)-2029),0)+IF($A49=DATE(2030,11,1),(RSU_Grant_Nov2029_USD/3)/FX_USD_per_GBP*(1+RSU_Price_Change_Pct)^(YEAR($A49)-2030),0)</f>
        <v>0</v>
      </c>
      <c r="E49" s="36">
        <f>IF($A49=EDATE(DATE(2026,8,1),Inputs!$B$9),Inputs!$B$8,0)</f>
        <v>0</v>
      </c>
      <c r="F49" s="36">
        <f>IF($A49=EDATE(DATE(2026,8,1),Inputs!$B$11),Inputs!$B$10,0)</f>
        <v>0</v>
      </c>
      <c r="G49" s="36">
        <f>IF(Inputs!$B$16=1,((IF(YEAR($A49)=2026,Inputs!$B$2,IF(YEAR($A49)=2027,IF(MONTH($A49)&gt;=Inputs!#REF!,Inputs!$B$2*(1+Inputs!$B$4),Inputs!$B$2),IF(YEAR($A49)=2028,IF(MONTH($A49)&gt;=Inputs!#REF!,Inputs!$B$2*(1+Inputs!$B$4)*(1+Inputs!$B$5),Inputs!$B$2*(1+Inputs!$B$4)),IF(YEAR($A49)=2029,IF(MONTH($A49)&gt;=Inputs!#REF!,Inputs!$B$2*(1+Inputs!$B$4)*(1+Inputs!$B$5)*(1+Inputs!$B$6),Inputs!$B$2*(1+Inputs!$B$4)*(1+Inputs!$B$5)),IF(MONTH($A49)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49" s="36">
        <f t="shared" si="9"/>
        <v>4830.3086429166669</v>
      </c>
      <c r="I49" s="31">
        <f t="shared" si="10"/>
        <v>3681.412346225</v>
      </c>
      <c r="J49" s="29">
        <f t="shared" si="11"/>
        <v>884.79012383333338</v>
      </c>
      <c r="K49" s="29">
        <f t="shared" si="12"/>
        <v>264.10617285833337</v>
      </c>
      <c r="L49">
        <f t="shared" si="13"/>
        <v>0.1</v>
      </c>
    </row>
    <row r="50" spans="1:12" x14ac:dyDescent="0.3">
      <c r="A50" s="35">
        <v>47696</v>
      </c>
      <c r="B50" s="36">
        <f t="shared" si="7"/>
        <v>4830.3086429166669</v>
      </c>
      <c r="C50" s="36">
        <f t="shared" si="8"/>
        <v>0</v>
      </c>
      <c r="D50" s="36">
        <f>IF(OR($A50=DATE(2027,9,1),$A50=EDATE(DATE(2027,9,1),12),$A50=EDATE(DATE(2027,9,1),24)),(New_Hire_Stock_Grant_USD/3)/FX_USD_per_GBP*(1+IF(YEAR($A50)=2027,Inputs!$B$56,IF(YEAR($A50)=2028,Inputs!$B$57,IF(YEAR($A50)=2029,Inputs!$B$58,0)))),0)+IF(OR($A50=DATE(2028,11,1),$A50=DATE(2029,11,1),$A50=DATE(2030,11,1)),(RSU_Grant_Nov2027_USD/3)/FX_USD_per_GBP*(1+RSU_Price_Change_Pct)^(YEAR($A50)-2028),0)+IF(OR($A50=DATE(2029,11,1),$A50=DATE(2030,11,1)),(RSU_Grant_Nov2028_USD/3)/FX_USD_per_GBP*(1+RSU_Price_Change_Pct)^(YEAR($A50)-2029),0)+IF($A50=DATE(2030,11,1),(RSU_Grant_Nov2029_USD/3)/FX_USD_per_GBP*(1+RSU_Price_Change_Pct)^(YEAR($A50)-2030),0)</f>
        <v>0</v>
      </c>
      <c r="E50" s="36">
        <f>IF($A50=EDATE(DATE(2026,8,1),Inputs!$B$9),Inputs!$B$8,0)</f>
        <v>0</v>
      </c>
      <c r="F50" s="36">
        <f>IF($A50=EDATE(DATE(2026,8,1),Inputs!$B$11),Inputs!$B$10,0)</f>
        <v>0</v>
      </c>
      <c r="G50" s="36">
        <f>IF(Inputs!$B$16=1,((IF(YEAR($A50)=2026,Inputs!$B$2,IF(YEAR($A50)=2027,IF(MONTH($A50)&gt;=Inputs!#REF!,Inputs!$B$2*(1+Inputs!$B$4),Inputs!$B$2),IF(YEAR($A50)=2028,IF(MONTH($A50)&gt;=Inputs!#REF!,Inputs!$B$2*(1+Inputs!$B$4)*(1+Inputs!$B$5),Inputs!$B$2*(1+Inputs!$B$4)),IF(YEAR($A50)=2029,IF(MONTH($A50)&gt;=Inputs!#REF!,Inputs!$B$2*(1+Inputs!$B$4)*(1+Inputs!$B$5)*(1+Inputs!$B$6),Inputs!$B$2*(1+Inputs!$B$4)*(1+Inputs!$B$5)),IF(MONTH($A50)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50" s="36">
        <f t="shared" si="9"/>
        <v>4830.3086429166669</v>
      </c>
      <c r="I50" s="31">
        <f t="shared" si="10"/>
        <v>3681.4123462250009</v>
      </c>
      <c r="J50" s="29">
        <f t="shared" si="11"/>
        <v>884.79012383333247</v>
      </c>
      <c r="K50" s="29">
        <f t="shared" si="12"/>
        <v>264.10617285833337</v>
      </c>
      <c r="L50">
        <f t="shared" si="13"/>
        <v>0.1</v>
      </c>
    </row>
    <row r="51" spans="1:12" x14ac:dyDescent="0.3">
      <c r="A51" s="35">
        <v>47727</v>
      </c>
      <c r="B51" s="36">
        <f t="shared" si="7"/>
        <v>4830.3086429166669</v>
      </c>
      <c r="C51" s="36">
        <f t="shared" si="8"/>
        <v>0</v>
      </c>
      <c r="D51" s="36">
        <f>IF(OR($A51=DATE(2027,9,1),$A51=EDATE(DATE(2027,9,1),12),$A51=EDATE(DATE(2027,9,1),24)),(New_Hire_Stock_Grant_USD/3)/FX_USD_per_GBP*(1+IF(YEAR($A51)=2027,Inputs!$B$56,IF(YEAR($A51)=2028,Inputs!$B$57,IF(YEAR($A51)=2029,Inputs!$B$58,0)))),0)+IF(OR($A51=DATE(2028,11,1),$A51=DATE(2029,11,1),$A51=DATE(2030,11,1)),(RSU_Grant_Nov2027_USD/3)/FX_USD_per_GBP*(1+RSU_Price_Change_Pct)^(YEAR($A51)-2028),0)+IF(OR($A51=DATE(2029,11,1),$A51=DATE(2030,11,1)),(RSU_Grant_Nov2028_USD/3)/FX_USD_per_GBP*(1+RSU_Price_Change_Pct)^(YEAR($A51)-2029),0)+IF($A51=DATE(2030,11,1),(RSU_Grant_Nov2029_USD/3)/FX_USD_per_GBP*(1+RSU_Price_Change_Pct)^(YEAR($A51)-2030),0)</f>
        <v>0</v>
      </c>
      <c r="E51" s="36">
        <f>IF($A51=EDATE(DATE(2026,8,1),Inputs!$B$9),Inputs!$B$8,0)</f>
        <v>0</v>
      </c>
      <c r="F51" s="36">
        <f>IF($A51=EDATE(DATE(2026,8,1),Inputs!$B$11),Inputs!$B$10,0)</f>
        <v>0</v>
      </c>
      <c r="G51" s="36">
        <f>IF(Inputs!$B$16=1,((IF(YEAR($A51)=2026,Inputs!$B$2,IF(YEAR($A51)=2027,IF(MONTH($A51)&gt;=Inputs!#REF!,Inputs!$B$2*(1+Inputs!$B$4),Inputs!$B$2),IF(YEAR($A51)=2028,IF(MONTH($A51)&gt;=Inputs!#REF!,Inputs!$B$2*(1+Inputs!$B$4)*(1+Inputs!$B$5),Inputs!$B$2*(1+Inputs!$B$4)),IF(YEAR($A51)=2029,IF(MONTH($A51)&gt;=Inputs!#REF!,Inputs!$B$2*(1+Inputs!$B$4)*(1+Inputs!$B$5)*(1+Inputs!$B$6),Inputs!$B$2*(1+Inputs!$B$4)*(1+Inputs!$B$5)),IF(MONTH($A51)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51" s="36">
        <f t="shared" si="9"/>
        <v>4830.3086429166669</v>
      </c>
      <c r="I51" s="31">
        <f t="shared" si="10"/>
        <v>3681.4123462250009</v>
      </c>
      <c r="J51" s="29">
        <f t="shared" si="11"/>
        <v>884.79012383333247</v>
      </c>
      <c r="K51" s="29">
        <f t="shared" si="12"/>
        <v>264.10617285833337</v>
      </c>
      <c r="L51">
        <f t="shared" si="13"/>
        <v>0.1</v>
      </c>
    </row>
    <row r="52" spans="1:12" x14ac:dyDescent="0.3">
      <c r="A52" s="35">
        <v>47757</v>
      </c>
      <c r="B52" s="36">
        <f t="shared" si="7"/>
        <v>4830.3086429166669</v>
      </c>
      <c r="C52" s="36">
        <f t="shared" si="8"/>
        <v>0</v>
      </c>
      <c r="D52" s="36">
        <f>IF(OR($A52=DATE(2027,9,1),$A52=EDATE(DATE(2027,9,1),12),$A52=EDATE(DATE(2027,9,1),24)),(New_Hire_Stock_Grant_USD/3)/FX_USD_per_GBP*(1+IF(YEAR($A52)=2027,Inputs!$B$56,IF(YEAR($A52)=2028,Inputs!$B$57,IF(YEAR($A52)=2029,Inputs!$B$58,0)))),0)+IF(OR($A52=DATE(2028,11,1),$A52=DATE(2029,11,1),$A52=DATE(2030,11,1)),(RSU_Grant_Nov2027_USD/3)/FX_USD_per_GBP*(1+RSU_Price_Change_Pct)^(YEAR($A52)-2028),0)+IF(OR($A52=DATE(2029,11,1),$A52=DATE(2030,11,1)),(RSU_Grant_Nov2028_USD/3)/FX_USD_per_GBP*(1+RSU_Price_Change_Pct)^(YEAR($A52)-2029),0)+IF($A52=DATE(2030,11,1),(RSU_Grant_Nov2029_USD/3)/FX_USD_per_GBP*(1+RSU_Price_Change_Pct)^(YEAR($A52)-2030),0)</f>
        <v>0</v>
      </c>
      <c r="E52" s="36">
        <f>IF($A52=EDATE(DATE(2026,8,1),Inputs!$B$9),Inputs!$B$8,0)</f>
        <v>0</v>
      </c>
      <c r="F52" s="36">
        <f>IF($A52=EDATE(DATE(2026,8,1),Inputs!$B$11),Inputs!$B$10,0)</f>
        <v>0</v>
      </c>
      <c r="G52" s="36">
        <f>IF(Inputs!$B$16=1,((IF(YEAR($A52)=2026,Inputs!$B$2,IF(YEAR($A52)=2027,IF(MONTH($A52)&gt;=Inputs!#REF!,Inputs!$B$2*(1+Inputs!$B$4),Inputs!$B$2),IF(YEAR($A52)=2028,IF(MONTH($A52)&gt;=Inputs!#REF!,Inputs!$B$2*(1+Inputs!$B$4)*(1+Inputs!$B$5),Inputs!$B$2*(1+Inputs!$B$4)),IF(YEAR($A52)=2029,IF(MONTH($A52)&gt;=Inputs!#REF!,Inputs!$B$2*(1+Inputs!$B$4)*(1+Inputs!$B$5)*(1+Inputs!$B$6),Inputs!$B$2*(1+Inputs!$B$4)*(1+Inputs!$B$5)),IF(MONTH($A52)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52" s="36">
        <f t="shared" si="9"/>
        <v>4830.3086429166669</v>
      </c>
      <c r="I52" s="31">
        <f t="shared" si="10"/>
        <v>3681.412346225</v>
      </c>
      <c r="J52" s="29">
        <f t="shared" si="11"/>
        <v>884.79012383333338</v>
      </c>
      <c r="K52" s="29">
        <f t="shared" si="12"/>
        <v>264.10617285833337</v>
      </c>
      <c r="L52">
        <f t="shared" si="13"/>
        <v>0.1</v>
      </c>
    </row>
    <row r="53" spans="1:12" x14ac:dyDescent="0.3">
      <c r="A53" s="35">
        <v>47788</v>
      </c>
      <c r="B53" s="36">
        <f t="shared" si="7"/>
        <v>4830.3086429166669</v>
      </c>
      <c r="C53" s="36">
        <f t="shared" si="8"/>
        <v>2898.1851857500005</v>
      </c>
      <c r="D53" s="36">
        <f>IF(OR($A53=DATE(2027,9,1),$A53=EDATE(DATE(2027,9,1),12),$A53=EDATE(DATE(2027,9,1),24)),(New_Hire_Stock_Grant_USD/3)/FX_USD_per_GBP*(1+IF(YEAR($A53)=2027,Inputs!$B$56,IF(YEAR($A53)=2028,Inputs!$B$57,IF(YEAR($A53)=2029,Inputs!$B$58,0)))),0)+IF(OR($A53=DATE(2028,11,1),$A53=DATE(2029,11,1),$A53=DATE(2030,11,1)),(RSU_Grant_Nov2027_USD/3)/FX_USD_per_GBP*(1+RSU_Price_Change_Pct)^(YEAR($A53)-2028),0)+IF(OR($A53=DATE(2029,11,1),$A53=DATE(2030,11,1)),(RSU_Grant_Nov2028_USD/3)/FX_USD_per_GBP*(1+RSU_Price_Change_Pct)^(YEAR($A53)-2029),0)+IF($A53=DATE(2030,11,1),(RSU_Grant_Nov2029_USD/3)/FX_USD_per_GBP*(1+RSU_Price_Change_Pct)^(YEAR($A53)-2030),0)</f>
        <v>0</v>
      </c>
      <c r="E53" s="36">
        <f>IF($A53=EDATE(DATE(2026,8,1),Inputs!$B$9),Inputs!$B$8,0)</f>
        <v>0</v>
      </c>
      <c r="F53" s="36">
        <f>IF($A53=EDATE(DATE(2026,8,1),Inputs!$B$11),Inputs!$B$10,0)</f>
        <v>0</v>
      </c>
      <c r="G53" s="36">
        <f>IF(Inputs!$B$16=1,((IF(YEAR($A53)=2026,Inputs!$B$2,IF(YEAR($A53)=2027,IF(MONTH($A53)&gt;=Inputs!#REF!,Inputs!$B$2*(1+Inputs!$B$4),Inputs!$B$2),IF(YEAR($A53)=2028,IF(MONTH($A53)&gt;=Inputs!#REF!,Inputs!$B$2*(1+Inputs!$B$4)*(1+Inputs!$B$5),Inputs!$B$2*(1+Inputs!$B$4)),IF(YEAR($A53)=2029,IF(MONTH($A53)&gt;=Inputs!#REF!,Inputs!$B$2*(1+Inputs!$B$4)*(1+Inputs!$B$5)*(1+Inputs!$B$6),Inputs!$B$2*(1+Inputs!$B$4)*(1+Inputs!$B$5)),IF(MONTH($A53)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53" s="36">
        <f t="shared" si="9"/>
        <v>7728.4938286666675</v>
      </c>
      <c r="I53" s="31">
        <f t="shared" si="10"/>
        <v>5362.3597539600005</v>
      </c>
      <c r="J53" s="29">
        <f t="shared" si="11"/>
        <v>2044.0641981333338</v>
      </c>
      <c r="K53" s="29">
        <f t="shared" si="12"/>
        <v>322.06987657333332</v>
      </c>
      <c r="L53">
        <f t="shared" si="13"/>
        <v>0.1</v>
      </c>
    </row>
    <row r="54" spans="1:12" ht="15" customHeight="1" thickBot="1" x14ac:dyDescent="0.35">
      <c r="A54" s="37">
        <v>47818</v>
      </c>
      <c r="B54" s="38">
        <f t="shared" si="7"/>
        <v>4830.3086429166669</v>
      </c>
      <c r="C54" s="39">
        <f t="shared" si="8"/>
        <v>0</v>
      </c>
      <c r="D54" s="38">
        <f>IF(OR($A54=DATE(2027,9,1),$A54=EDATE(DATE(2027,9,1),12),$A54=EDATE(DATE(2027,9,1),24)),(New_Hire_Stock_Grant_USD/3)/FX_USD_per_GBP*(1+IF(YEAR($A54)=2027,Inputs!$B$56,IF(YEAR($A54)=2028,Inputs!$B$57,IF(YEAR($A54)=2029,Inputs!$B$58,0)))),0)+IF(OR($A54=DATE(2028,11,1),$A54=DATE(2029,11,1),$A54=DATE(2030,11,1)),(RSU_Grant_Nov2027_USD/3)/FX_USD_per_GBP*(1+RSU_Price_Change_Pct)^(YEAR($A54)-2028),0)+IF(OR($A54=DATE(2029,11,1),$A54=DATE(2030,11,1)),(RSU_Grant_Nov2028_USD/3)/FX_USD_per_GBP*(1+RSU_Price_Change_Pct)^(YEAR($A54)-2029),0)+IF($A54=DATE(2030,11,1),(RSU_Grant_Nov2029_USD/3)/FX_USD_per_GBP*(1+RSU_Price_Change_Pct)^(YEAR($A54)-2030),0)</f>
        <v>0</v>
      </c>
      <c r="E54" s="38">
        <f>IF($A54=EDATE(DATE(2026,8,1),Inputs!$B$9),Inputs!$B$8,0)</f>
        <v>0</v>
      </c>
      <c r="F54" s="38">
        <f>IF($A54=EDATE(DATE(2026,8,1),Inputs!$B$11),Inputs!$B$10,0)</f>
        <v>0</v>
      </c>
      <c r="G54" s="38">
        <f>IF(Inputs!$B$16=1,((IF(YEAR($A54)=2026,Inputs!$B$2,IF(YEAR($A54)=2027,IF(MONTH($A54)&gt;=Inputs!#REF!,Inputs!$B$2*(1+Inputs!$B$4),Inputs!$B$2),IF(YEAR($A54)=2028,IF(MONTH($A54)&gt;=Inputs!#REF!,Inputs!$B$2*(1+Inputs!$B$4)*(1+Inputs!$B$5),Inputs!$B$2*(1+Inputs!$B$4)),IF(YEAR($A54)=2029,IF(MONTH($A54)&gt;=Inputs!#REF!,Inputs!$B$2*(1+Inputs!$B$4)*(1+Inputs!$B$5)*(1+Inputs!$B$6),Inputs!$B$2*(1+Inputs!$B$4)*(1+Inputs!$B$5)),IF(MONTH($A54)&gt;=Inputs!#REF!,Inputs!$B$2*(1+Inputs!$B$4)*(1+Inputs!$B$5)*(1+Inputs!$B$6)*(1+Inputs!$B$7),Inputs!$B$2*(1+Inputs!$B$4)*(1+Inputs!$B$5)*(1+Inputs!$B$6)))))))/12)*(MIN(Inputs!$B$17,Inputs!$B$18)*(1+Inputs!$B$19)+Inputs!$B$17*Inputs!$B$20),0)</f>
        <v>0</v>
      </c>
      <c r="H54" s="38">
        <f t="shared" si="9"/>
        <v>4830.3086429166669</v>
      </c>
      <c r="I54" s="31">
        <f t="shared" si="10"/>
        <v>3681.4123462250009</v>
      </c>
      <c r="J54" s="29">
        <f t="shared" si="11"/>
        <v>884.79012383333247</v>
      </c>
      <c r="K54" s="29">
        <f t="shared" si="12"/>
        <v>264.10617285833337</v>
      </c>
      <c r="L54">
        <f t="shared" si="13"/>
        <v>0.1</v>
      </c>
    </row>
    <row r="55" spans="1:12" ht="15" customHeight="1" thickTop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37</vt:i4>
      </vt:variant>
    </vt:vector>
  </HeadingPairs>
  <TitlesOfParts>
    <vt:vector size="39" baseType="lpstr">
      <vt:lpstr>Inputs</vt:lpstr>
      <vt:lpstr>Monthly Schedule</vt:lpstr>
      <vt:lpstr>Base_Annual_Salary_GBP</vt:lpstr>
      <vt:lpstr>Bonus_Pct_Aug2026_to_Sep2026</vt:lpstr>
      <vt:lpstr>Bonus_Pct_Oct2026_to_Sep2027</vt:lpstr>
      <vt:lpstr>Bonus_Pct_Oct2027_to_Sep2028</vt:lpstr>
      <vt:lpstr>Bonus_Pct_Oct2028_to_Sep2029</vt:lpstr>
      <vt:lpstr>Bonus_Pct_Oct2029_onwards</vt:lpstr>
      <vt:lpstr>FX_USD_per_GBP</vt:lpstr>
      <vt:lpstr>Include_Pension_in_Cashflow</vt:lpstr>
      <vt:lpstr>Living_Expenses_GBP_Monthly_2026</vt:lpstr>
      <vt:lpstr>Living_Expenses_GBP_Monthly_2027</vt:lpstr>
      <vt:lpstr>Living_Expenses_GBP_Monthly_2028</vt:lpstr>
      <vt:lpstr>Living_Expenses_GBP_Monthly_2029</vt:lpstr>
      <vt:lpstr>Living_Expenses_GBP_Monthly_2030</vt:lpstr>
      <vt:lpstr>New_Hire_Stock_Grant_USD</vt:lpstr>
      <vt:lpstr>Raise_Pct_Apr2027</vt:lpstr>
      <vt:lpstr>Raise_Pct_Apr2028</vt:lpstr>
      <vt:lpstr>Raise_Pct_Apr2029</vt:lpstr>
      <vt:lpstr>Raise_Pct_Apr2030</vt:lpstr>
      <vt:lpstr>Raise_Pct_Nov2027</vt:lpstr>
      <vt:lpstr>Raise_Pct_Nov2028</vt:lpstr>
      <vt:lpstr>Raise_Pct_Nov2029</vt:lpstr>
      <vt:lpstr>Raise_Pct_Nov2030</vt:lpstr>
      <vt:lpstr>RSU_Grant_Nov2027_USD</vt:lpstr>
      <vt:lpstr>RSU_Grant_Nov2028_USD</vt:lpstr>
      <vt:lpstr>RSU_Grant_Nov2029_USD</vt:lpstr>
      <vt:lpstr>RSU_Price_Change_Pct</vt:lpstr>
      <vt:lpstr>UK_Additional_Rate</vt:lpstr>
      <vt:lpstr>UK_Basic_Band_Upper_Annual</vt:lpstr>
      <vt:lpstr>UK_Basic_Rate</vt:lpstr>
      <vt:lpstr>UK_Higher_Band_Upper_Annual</vt:lpstr>
      <vt:lpstr>UK_Higher_Rate</vt:lpstr>
      <vt:lpstr>UK_NI_Main_Rate</vt:lpstr>
      <vt:lpstr>UK_NI_PT_Monthly</vt:lpstr>
      <vt:lpstr>UK_NI_UEL_Monthly</vt:lpstr>
      <vt:lpstr>UK_NI_Upper_Rate</vt:lpstr>
      <vt:lpstr>UK_Personal_Allowance_Annual</vt:lpstr>
      <vt:lpstr>UK_TaxYear_Start_Month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2026-05-17T07:10:38Z</dcterms:created>
  <dcterms:modified xsi:type="dcterms:W3CDTF">2026-06-25T12:13:54Z</dcterms:modified>
  <cp:category/>
  <cp:contentStatus/>
</cp:coreProperties>
</file>