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Cirrus Logic Interview Process\"/>
    </mc:Choice>
  </mc:AlternateContent>
  <xr:revisionPtr revIDLastSave="0" documentId="13_ncr:1_{DC7B7592-06A2-45E2-828C-BF5631F07AF1}" xr6:coauthVersionLast="47" xr6:coauthVersionMax="47" xr10:uidLastSave="{00000000-0000-0000-0000-000000000000}"/>
  <bookViews>
    <workbookView xWindow="-108" yWindow="-108" windowWidth="23256" windowHeight="13896" xr2:uid="{D2E72302-2F68-4906-8E96-CA49EF00AE75}"/>
  </bookViews>
  <sheets>
    <sheet name="Sheet1" sheetId="1" r:id="rId1"/>
  </sheets>
  <externalReferences>
    <externalReference r:id="rId2"/>
  </externalReferences>
  <definedNames>
    <definedName name="Living_Expenses_EGP_Monthly">[1]Inputs!$B$24</definedName>
    <definedName name="Taxes_Pct">[1]Inputs!#REF!</definedName>
    <definedName name="USD_to_EGP">[1]Inputs!$B$29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B7" i="1"/>
  <c r="F7" i="1"/>
  <c r="E23" i="1" l="1"/>
  <c r="E22" i="1"/>
  <c r="E21" i="1"/>
  <c r="E20" i="1"/>
  <c r="E19" i="1"/>
  <c r="F13" i="1"/>
  <c r="F14" i="1" s="1"/>
  <c r="E13" i="1"/>
  <c r="E14" i="1" s="1"/>
  <c r="D13" i="1"/>
  <c r="D14" i="1" s="1"/>
  <c r="C13" i="1"/>
  <c r="C14" i="1" s="1"/>
  <c r="C7" i="1"/>
  <c r="D7" i="1" l="1"/>
</calcChain>
</file>

<file path=xl/sharedStrings.xml><?xml version="1.0" encoding="utf-8"?>
<sst xmlns="http://schemas.openxmlformats.org/spreadsheetml/2006/main" count="17" uniqueCount="17">
  <si>
    <t>ADI</t>
  </si>
  <si>
    <t>Mediatek</t>
  </si>
  <si>
    <t>Cirrus Logic</t>
  </si>
  <si>
    <t>Total Take-Home Estimate in All Years</t>
  </si>
  <si>
    <t>Take-Home in 2027</t>
  </si>
  <si>
    <t>Take-Home in 2026</t>
  </si>
  <si>
    <t>Take-Home in 2028</t>
  </si>
  <si>
    <t>Take-Home in 2029</t>
  </si>
  <si>
    <t>Take-Home in 2030</t>
  </si>
  <si>
    <t>Telink</t>
  </si>
  <si>
    <t>On 4 Years</t>
  </si>
  <si>
    <t>On 5 Years</t>
  </si>
  <si>
    <t>On 3 Years</t>
  </si>
  <si>
    <t>On 2 Years</t>
  </si>
  <si>
    <t>Difference between Mediatek and ADI averaged per month</t>
  </si>
  <si>
    <t>Difference between Mediatek and ADI on every year</t>
  </si>
  <si>
    <t>ADI Cork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</si>
</sst>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0" fillId="0" borderId="0" xfId="1" applyFont="1"/>
    <xf numFmtId="4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link_Interview_Process/ADI_Income_Estimation_Model_Aug26_Dec30.xlsx" TargetMode="External"/><Relationship Id="rId2" Type="http://schemas.openxmlformats.org/officeDocument/2006/relationships/externalLinkPath" Target="file:///C:\Personal_Stuff\Study_Plan_and_Interviews_Preparation\Telink_Interview_Process\ADI_Income_Estimation_Model_Aug26_Dec30.xlsx" TargetMode="External"/><Relationship Id="rId1" Type="http://schemas.openxmlformats.org/officeDocument/2006/relationships/externalLinkPath" Target="/Personal_Stuff/Study_Plan_and_Interviews_Preparation/Telink_Interview_Process/ADI_Income_Estimation_Model_Aug26_Dec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s"/>
      <sheetName val="Monthly Schedule"/>
    </sheetNames>
    <sheetDataSet>
      <sheetData sheetId="0">
        <row r="24">
          <cell r="B24">
            <v>37500</v>
          </cell>
        </row>
        <row r="29">
          <cell r="B29">
            <v>52.72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D99A-35C8-4398-B575-CE441CF61541}">
  <dimension ref="A1:N23"/>
  <sheetViews>
    <sheetView tabSelected="1" zoomScale="149" workbookViewId="0">
      <selection activeCell="H10" sqref="H10"/>
    </sheetView>
  </sheetViews>
  <sheetFormatPr defaultRowHeight="14.4" x14ac:dyDescent="0.3"/>
  <cols>
    <col min="1" max="1" width="33.109375" style="1" bestFit="1" customWidth="1"/>
    <col min="2" max="2" width="11.21875" style="1" bestFit="1" customWidth="1"/>
    <col min="3" max="3" width="11.109375" style="1" customWidth="1"/>
    <col min="4" max="4" width="12.6640625" style="1" customWidth="1"/>
    <col min="5" max="5" width="12.77734375" style="1" customWidth="1"/>
    <col min="6" max="6" width="15.77734375" style="1" customWidth="1"/>
    <col min="8" max="8" width="33.88671875" bestFit="1" customWidth="1"/>
    <col min="9" max="9" width="11.21875" customWidth="1"/>
    <col min="10" max="10" width="11.109375" customWidth="1"/>
    <col min="11" max="11" width="12.21875" customWidth="1"/>
    <col min="12" max="12" width="15" customWidth="1"/>
    <col min="13" max="13" width="11.77734375" customWidth="1"/>
  </cols>
  <sheetData>
    <row r="1" spans="1:14" x14ac:dyDescent="0.3">
      <c r="B1" s="1" t="s">
        <v>0</v>
      </c>
      <c r="C1" s="1" t="s">
        <v>1</v>
      </c>
      <c r="D1" s="1" t="s">
        <v>9</v>
      </c>
      <c r="E1" s="1" t="s">
        <v>2</v>
      </c>
      <c r="F1" s="1" t="s">
        <v>16</v>
      </c>
      <c r="H1" s="1"/>
      <c r="I1" s="1"/>
      <c r="J1" s="1"/>
      <c r="K1" s="1"/>
      <c r="L1" s="1"/>
      <c r="M1" s="1"/>
      <c r="N1" s="1"/>
    </row>
    <row r="2" spans="1:14" x14ac:dyDescent="0.3">
      <c r="A2" s="4" t="s">
        <v>5</v>
      </c>
      <c r="B2" s="3">
        <v>7481</v>
      </c>
      <c r="C2" s="3">
        <v>6586</v>
      </c>
      <c r="D2" s="3">
        <v>6886</v>
      </c>
      <c r="E2" s="6">
        <v>11100</v>
      </c>
      <c r="F2" s="6">
        <v>17576</v>
      </c>
      <c r="H2" s="1"/>
      <c r="I2" s="1"/>
      <c r="J2" s="1"/>
      <c r="K2" s="1"/>
      <c r="L2" s="1"/>
      <c r="M2" s="1"/>
      <c r="N2" s="1"/>
    </row>
    <row r="3" spans="1:14" x14ac:dyDescent="0.3">
      <c r="A3" s="4" t="s">
        <v>4</v>
      </c>
      <c r="B3" s="3">
        <v>15697</v>
      </c>
      <c r="C3" s="3">
        <v>18429</v>
      </c>
      <c r="D3" s="3">
        <v>20233</v>
      </c>
      <c r="E3" s="6">
        <v>23724</v>
      </c>
      <c r="F3" s="6">
        <v>23631</v>
      </c>
      <c r="H3" s="1"/>
      <c r="I3" s="1"/>
      <c r="J3" s="1"/>
      <c r="K3" s="1"/>
      <c r="L3" s="1"/>
      <c r="M3" s="1"/>
      <c r="N3" s="1"/>
    </row>
    <row r="4" spans="1:14" x14ac:dyDescent="0.3">
      <c r="A4" s="4" t="s">
        <v>6</v>
      </c>
      <c r="B4" s="3">
        <v>16852</v>
      </c>
      <c r="C4" s="3">
        <v>21227</v>
      </c>
      <c r="D4" s="3">
        <v>22398</v>
      </c>
      <c r="E4" s="6">
        <v>24453</v>
      </c>
      <c r="F4" s="6">
        <v>22759</v>
      </c>
      <c r="H4" s="1"/>
      <c r="I4" s="1"/>
      <c r="J4" s="1"/>
      <c r="K4" s="1"/>
      <c r="L4" s="1"/>
      <c r="M4" s="1"/>
      <c r="N4" s="1"/>
    </row>
    <row r="5" spans="1:14" x14ac:dyDescent="0.3">
      <c r="A5" s="4" t="s">
        <v>7</v>
      </c>
      <c r="B5" s="3">
        <v>22780</v>
      </c>
      <c r="C5" s="3">
        <v>23222</v>
      </c>
      <c r="D5" s="3">
        <v>24617</v>
      </c>
      <c r="E5" s="6">
        <v>26159</v>
      </c>
      <c r="F5" s="6">
        <v>28637</v>
      </c>
      <c r="H5" s="1"/>
      <c r="I5" s="1"/>
      <c r="J5" s="1"/>
      <c r="K5" s="1"/>
      <c r="L5" s="1"/>
      <c r="M5" s="1"/>
      <c r="N5" s="1"/>
    </row>
    <row r="6" spans="1:14" x14ac:dyDescent="0.3">
      <c r="A6" s="4" t="s">
        <v>8</v>
      </c>
      <c r="B6" s="3">
        <v>26902</v>
      </c>
      <c r="C6" s="3">
        <v>25684</v>
      </c>
      <c r="D6" s="3">
        <v>31048</v>
      </c>
      <c r="E6" s="6">
        <v>20955</v>
      </c>
      <c r="F6" s="6">
        <v>30726</v>
      </c>
      <c r="H6" s="1"/>
      <c r="I6" s="1"/>
      <c r="J6" s="1"/>
      <c r="K6" s="1"/>
      <c r="L6" s="1"/>
      <c r="M6" s="1"/>
      <c r="N6" s="1"/>
    </row>
    <row r="7" spans="1:14" x14ac:dyDescent="0.3">
      <c r="A7" s="4" t="s">
        <v>3</v>
      </c>
      <c r="B7" s="2">
        <f>SUM(B2:B6)</f>
        <v>89712</v>
      </c>
      <c r="C7" s="3">
        <f>SUM(C2:C6)</f>
        <v>95148</v>
      </c>
      <c r="D7" s="3">
        <f>SUM(D2:D6)</f>
        <v>105182</v>
      </c>
      <c r="E7" s="3">
        <f>SUM(E2:E6)</f>
        <v>106391</v>
      </c>
      <c r="F7" s="7">
        <f>SUM(F2:F6)</f>
        <v>123329</v>
      </c>
      <c r="H7" s="1"/>
      <c r="I7" s="1"/>
      <c r="J7" s="1"/>
      <c r="K7" s="1"/>
      <c r="L7" s="1"/>
      <c r="M7" s="1"/>
      <c r="N7" s="1"/>
    </row>
    <row r="8" spans="1:14" x14ac:dyDescent="0.3">
      <c r="H8" s="1"/>
      <c r="I8" s="1"/>
      <c r="J8" s="1"/>
      <c r="K8" s="1"/>
      <c r="L8" s="1"/>
      <c r="M8" s="1"/>
      <c r="N8" s="1"/>
    </row>
    <row r="9" spans="1:14" x14ac:dyDescent="0.3">
      <c r="B9" s="3"/>
      <c r="C9" s="3"/>
      <c r="H9" s="1"/>
      <c r="I9" s="1"/>
      <c r="J9" s="1"/>
      <c r="K9" s="1"/>
      <c r="L9" s="1"/>
      <c r="M9" s="1"/>
      <c r="N9" s="1"/>
    </row>
    <row r="10" spans="1:14" x14ac:dyDescent="0.3">
      <c r="C10" s="3"/>
      <c r="H10" s="1"/>
      <c r="I10" s="1"/>
      <c r="J10" s="1"/>
      <c r="K10" s="1"/>
      <c r="L10" s="1"/>
      <c r="M10" s="1"/>
      <c r="N10" s="1"/>
    </row>
    <row r="11" spans="1:14" x14ac:dyDescent="0.3">
      <c r="C11" s="5" t="s">
        <v>14</v>
      </c>
      <c r="D11" s="5"/>
      <c r="E11" s="5"/>
      <c r="F11" s="5"/>
      <c r="H11" s="1"/>
      <c r="I11" s="1"/>
      <c r="J11" s="1"/>
      <c r="K11" s="1"/>
      <c r="L11" s="1"/>
      <c r="M11" s="1"/>
      <c r="N11" s="1"/>
    </row>
    <row r="12" spans="1:14" x14ac:dyDescent="0.3">
      <c r="C12" s="1" t="s">
        <v>13</v>
      </c>
      <c r="D12" s="1" t="s">
        <v>12</v>
      </c>
      <c r="E12" s="1" t="s">
        <v>10</v>
      </c>
      <c r="F12" s="1" t="s">
        <v>11</v>
      </c>
      <c r="H12" s="1"/>
      <c r="I12" s="1"/>
      <c r="J12" s="1"/>
      <c r="K12" s="1"/>
      <c r="L12" s="1"/>
      <c r="M12" s="1"/>
      <c r="N12" s="1"/>
    </row>
    <row r="13" spans="1:14" x14ac:dyDescent="0.3">
      <c r="C13" s="3" t="e">
        <f>SUM(C2:C3)-SUM(#REF!)</f>
        <v>#REF!</v>
      </c>
      <c r="D13" s="3" t="e">
        <f>SUM(C2:C4)-SUM(#REF!)</f>
        <v>#REF!</v>
      </c>
      <c r="E13" s="3" t="e">
        <f>SUM(C2:C5)-SUM(#REF!)</f>
        <v>#REF!</v>
      </c>
      <c r="F13" s="3" t="e">
        <f>SUM(C2:C6)-SUM(#REF!)</f>
        <v>#REF!</v>
      </c>
      <c r="H13" s="1"/>
      <c r="I13" s="1"/>
      <c r="J13" s="1"/>
      <c r="K13" s="1"/>
      <c r="L13" s="1"/>
      <c r="M13" s="1"/>
      <c r="N13" s="1"/>
    </row>
    <row r="14" spans="1:14" x14ac:dyDescent="0.3">
      <c r="C14" s="3" t="e">
        <f>C13/17</f>
        <v>#REF!</v>
      </c>
      <c r="D14" s="3" t="e">
        <f>D13/29</f>
        <v>#REF!</v>
      </c>
      <c r="E14" s="3" t="e">
        <f>E13/(41)</f>
        <v>#REF!</v>
      </c>
      <c r="F14" s="3" t="e">
        <f>F13/(53)</f>
        <v>#REF!</v>
      </c>
      <c r="H14" s="1"/>
      <c r="I14" s="1"/>
      <c r="J14" s="1"/>
      <c r="K14" s="1"/>
      <c r="L14" s="1"/>
      <c r="M14" s="1"/>
      <c r="N14" s="1"/>
    </row>
    <row r="15" spans="1:14" x14ac:dyDescent="0.3">
      <c r="H15" s="1"/>
      <c r="I15" s="1"/>
      <c r="J15" s="1"/>
      <c r="K15" s="1"/>
      <c r="L15" s="1"/>
      <c r="M15" s="1"/>
      <c r="N15" s="1"/>
    </row>
    <row r="16" spans="1:14" x14ac:dyDescent="0.3">
      <c r="H16" s="1"/>
      <c r="I16" s="1"/>
      <c r="J16" s="1"/>
      <c r="K16" s="1"/>
      <c r="L16" s="1"/>
      <c r="M16" s="1"/>
      <c r="N16" s="1"/>
    </row>
    <row r="17" spans="3:14" x14ac:dyDescent="0.3">
      <c r="H17" s="1"/>
      <c r="I17" s="1"/>
      <c r="J17" s="1"/>
      <c r="K17" s="1"/>
      <c r="L17" s="1"/>
      <c r="M17" s="1"/>
      <c r="N17" s="1"/>
    </row>
    <row r="18" spans="3:14" x14ac:dyDescent="0.3">
      <c r="C18" s="5" t="s">
        <v>15</v>
      </c>
      <c r="D18" s="5"/>
      <c r="E18" s="5"/>
      <c r="F18" s="5"/>
      <c r="H18" s="1"/>
      <c r="I18" s="1"/>
      <c r="J18" s="1"/>
      <c r="K18" s="1"/>
      <c r="L18" s="1"/>
      <c r="M18" s="1"/>
      <c r="N18" s="1"/>
    </row>
    <row r="19" spans="3:14" x14ac:dyDescent="0.3">
      <c r="D19" s="1">
        <v>2026</v>
      </c>
      <c r="E19" s="3" t="e">
        <f>C2-#REF!</f>
        <v>#REF!</v>
      </c>
      <c r="H19" s="1"/>
      <c r="I19" s="1"/>
      <c r="J19" s="1"/>
      <c r="K19" s="1"/>
      <c r="L19" s="1"/>
      <c r="M19" s="1"/>
      <c r="N19" s="1"/>
    </row>
    <row r="20" spans="3:14" x14ac:dyDescent="0.3">
      <c r="D20" s="1">
        <v>2027</v>
      </c>
      <c r="E20" s="3" t="e">
        <f>C3-#REF!</f>
        <v>#REF!</v>
      </c>
      <c r="H20" s="1"/>
      <c r="I20" s="1"/>
      <c r="J20" s="1"/>
      <c r="K20" s="1"/>
      <c r="L20" s="1"/>
      <c r="M20" s="1"/>
      <c r="N20" s="1"/>
    </row>
    <row r="21" spans="3:14" x14ac:dyDescent="0.3">
      <c r="D21" s="1">
        <v>2028</v>
      </c>
      <c r="E21" s="3" t="e">
        <f>C4-#REF!</f>
        <v>#REF!</v>
      </c>
      <c r="H21" s="1"/>
      <c r="I21" s="1"/>
      <c r="J21" s="1"/>
      <c r="K21" s="1"/>
      <c r="L21" s="1"/>
      <c r="M21" s="1"/>
      <c r="N21" s="1"/>
    </row>
    <row r="22" spans="3:14" x14ac:dyDescent="0.3">
      <c r="D22" s="1">
        <v>2029</v>
      </c>
      <c r="E22" s="3" t="e">
        <f>C5-#REF!</f>
        <v>#REF!</v>
      </c>
      <c r="H22" s="1"/>
      <c r="I22" s="1"/>
      <c r="J22" s="1"/>
      <c r="K22" s="1"/>
      <c r="L22" s="1"/>
      <c r="M22" s="1"/>
      <c r="N22" s="1"/>
    </row>
    <row r="23" spans="3:14" x14ac:dyDescent="0.3">
      <c r="D23" s="1">
        <v>2030</v>
      </c>
      <c r="E23" s="3" t="e">
        <f>C6-#REF!</f>
        <v>#REF!</v>
      </c>
      <c r="H23" s="1"/>
      <c r="I23" s="1"/>
      <c r="J23" s="1"/>
      <c r="K23" s="1"/>
      <c r="L23" s="1"/>
      <c r="M23" s="1"/>
      <c r="N23" s="1"/>
    </row>
  </sheetData>
  <mergeCells count="2">
    <mergeCell ref="C11:F11"/>
    <mergeCell ref="C18:F18"/>
  </mergeCells>
  <phoneticPr fontId="2" type="noConversion"/>
  <conditionalFormatting sqref="B2:E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E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E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E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J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J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J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J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J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:J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F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F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F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F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F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2026-05-08T21:52:00Z</dcterms:created>
  <dcterms:modified xsi:type="dcterms:W3CDTF">2026-05-16T14:13:58Z</dcterms:modified>
</cp:coreProperties>
</file>