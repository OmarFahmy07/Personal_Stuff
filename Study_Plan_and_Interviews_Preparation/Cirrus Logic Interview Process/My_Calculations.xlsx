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alog-my.sharepoint.com/personal/omar_fahmy_analog_com/Documents/Personal Stuff/Study_Plan_and_Interviews_Preparation/Cirrus Logic Interview Process/"/>
    </mc:Choice>
  </mc:AlternateContent>
  <xr:revisionPtr revIDLastSave="126" documentId="8_{90912DDD-2D14-4314-8AA0-B7E84323E38D}" xr6:coauthVersionLast="47" xr6:coauthVersionMax="47" xr10:uidLastSave="{936C02AE-4816-4196-A987-4666639B11AF}"/>
  <bookViews>
    <workbookView xWindow="-108" yWindow="-108" windowWidth="23256" windowHeight="13896" xr2:uid="{0B26F4AA-EEA5-4AE3-8237-098C96EAF6B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" i="1" l="1"/>
  <c r="V13" i="1" s="1"/>
  <c r="V9" i="1"/>
  <c r="V8" i="1"/>
  <c r="V10" i="1" s="1"/>
  <c r="Q9" i="1"/>
  <c r="L9" i="1"/>
  <c r="Q12" i="1"/>
  <c r="Q13" i="1" s="1"/>
  <c r="Q8" i="1"/>
  <c r="L12" i="1"/>
  <c r="L13" i="1" s="1"/>
  <c r="L8" i="1"/>
  <c r="G12" i="1"/>
  <c r="B12" i="1"/>
  <c r="G15" i="1"/>
  <c r="G16" i="1" s="1"/>
  <c r="B15" i="1"/>
  <c r="B16" i="1" s="1"/>
  <c r="G11" i="1"/>
  <c r="G9" i="1"/>
  <c r="G10" i="1" s="1"/>
  <c r="G13" i="1" s="1"/>
  <c r="B11" i="1"/>
  <c r="B9" i="1"/>
  <c r="B10" i="1" s="1"/>
  <c r="B13" i="1" s="1"/>
  <c r="Q10" i="1" l="1"/>
  <c r="L10" i="1"/>
</calcChain>
</file>

<file path=xl/sharedStrings.xml><?xml version="1.0" encoding="utf-8"?>
<sst xmlns="http://schemas.openxmlformats.org/spreadsheetml/2006/main" count="100" uniqueCount="30">
  <si>
    <t>Annual Gross Base Salary</t>
  </si>
  <si>
    <t>RSUs</t>
  </si>
  <si>
    <t>ESPP Annual Gross Profit</t>
  </si>
  <si>
    <t>Collected from gross salary for ESPP</t>
  </si>
  <si>
    <t>My ESPP Contribution (%)</t>
  </si>
  <si>
    <t>I assume the share is bought and sold with the same price with 5% taxes on the profit</t>
  </si>
  <si>
    <t>Bonus Annual Gross Profit</t>
  </si>
  <si>
    <t>Target Bonus (%)</t>
  </si>
  <si>
    <t>Assuming no performance multiplier</t>
  </si>
  <si>
    <t>Quantity</t>
  </si>
  <si>
    <t>Value</t>
  </si>
  <si>
    <t>Assumption</t>
  </si>
  <si>
    <t>Annual Gross Salary With Benefits</t>
  </si>
  <si>
    <t>Net Monthly Salary With Benefits</t>
  </si>
  <si>
    <t>Assumed living expenses (EGP)</t>
  </si>
  <si>
    <t>Analog Devices (Current)</t>
  </si>
  <si>
    <t>Monthly take-home ($)</t>
  </si>
  <si>
    <t>Monthly take-home (EGP)</t>
  </si>
  <si>
    <t>USD to EGP</t>
  </si>
  <si>
    <t>Use the same rate used in "Net Salary Calculator"</t>
  </si>
  <si>
    <t>Analog Devices (What I See Fair)</t>
  </si>
  <si>
    <t>RSUs per Year</t>
  </si>
  <si>
    <t>Assume 4-Year Vest</t>
  </si>
  <si>
    <t>Cirrus Logic</t>
  </si>
  <si>
    <t>Assumed living expenses (£)</t>
  </si>
  <si>
    <t>Monthly take-home (£)</t>
  </si>
  <si>
    <t>Put the "Annual Gross Salary With Benefits" value in the "Net Salary Calculator" sheet and plug the "Net Monthly Salary" in USD value here</t>
  </si>
  <si>
    <t>£ to EGP</t>
  </si>
  <si>
    <t>Take the "Annual Gross Salary With Benefits" number and put it on the online take-home calculator</t>
  </si>
  <si>
    <t>Assume 3-Year 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</si>
</sst>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2" borderId="8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0" fillId="0" borderId="1" xfId="0" applyBorder="1"/>
    <xf numFmtId="0" fontId="0" fillId="0" borderId="8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39A16-D8A1-4CE3-9586-8B8A647A33BE}">
  <dimension ref="A1:W36"/>
  <sheetViews>
    <sheetView tabSelected="1" topLeftCell="H1" zoomScale="90" workbookViewId="0">
      <selection activeCell="R15" sqref="R15"/>
    </sheetView>
  </sheetViews>
  <sheetFormatPr defaultRowHeight="14.4" x14ac:dyDescent="0.3"/>
  <cols>
    <col min="1" max="1" width="24" style="1" bestFit="1" customWidth="1"/>
    <col min="2" max="2" width="6.6640625" style="2" bestFit="1" customWidth="1"/>
    <col min="3" max="3" width="38.44140625" style="2" bestFit="1" customWidth="1"/>
    <col min="6" max="6" width="24" bestFit="1" customWidth="1"/>
    <col min="7" max="7" width="6.6640625" bestFit="1" customWidth="1"/>
    <col min="8" max="8" width="38" style="2" bestFit="1" customWidth="1"/>
    <col min="9" max="9" width="12.77734375" style="2" bestFit="1" customWidth="1"/>
    <col min="10" max="10" width="6.109375" bestFit="1" customWidth="1"/>
    <col min="11" max="11" width="23" bestFit="1" customWidth="1"/>
    <col min="12" max="12" width="6.6640625" bestFit="1" customWidth="1"/>
    <col min="13" max="13" width="23.6640625" bestFit="1" customWidth="1"/>
    <col min="16" max="16" width="23" bestFit="1" customWidth="1"/>
    <col min="17" max="17" width="7.77734375" bestFit="1" customWidth="1"/>
    <col min="18" max="18" width="20.109375" bestFit="1" customWidth="1"/>
    <col min="21" max="21" width="23.6640625" bestFit="1" customWidth="1"/>
    <col min="22" max="22" width="7.77734375" bestFit="1" customWidth="1"/>
    <col min="23" max="23" width="17.6640625" bestFit="1" customWidth="1"/>
  </cols>
  <sheetData>
    <row r="1" spans="1:23" ht="24.6" thickTop="1" thickBot="1" x14ac:dyDescent="0.35">
      <c r="A1" s="10" t="s">
        <v>15</v>
      </c>
      <c r="B1" s="8"/>
      <c r="C1" s="9"/>
      <c r="F1" s="10" t="s">
        <v>20</v>
      </c>
      <c r="G1" s="8"/>
      <c r="H1" s="9"/>
      <c r="K1" s="10" t="s">
        <v>23</v>
      </c>
      <c r="L1" s="8"/>
      <c r="M1" s="9"/>
      <c r="P1" s="10" t="s">
        <v>23</v>
      </c>
      <c r="Q1" s="8"/>
      <c r="R1" s="9"/>
      <c r="U1" s="10" t="s">
        <v>23</v>
      </c>
      <c r="V1" s="8"/>
      <c r="W1" s="9"/>
    </row>
    <row r="2" spans="1:23" ht="15.6" thickTop="1" thickBot="1" x14ac:dyDescent="0.35">
      <c r="A2" s="6" t="s">
        <v>9</v>
      </c>
      <c r="B2" s="7" t="s">
        <v>10</v>
      </c>
      <c r="C2" s="7" t="s">
        <v>11</v>
      </c>
      <c r="F2" s="6" t="s">
        <v>9</v>
      </c>
      <c r="G2" s="7" t="s">
        <v>10</v>
      </c>
      <c r="H2" s="7" t="s">
        <v>11</v>
      </c>
      <c r="K2" s="6" t="s">
        <v>9</v>
      </c>
      <c r="L2" s="7" t="s">
        <v>10</v>
      </c>
      <c r="M2" s="7" t="s">
        <v>11</v>
      </c>
      <c r="P2" s="6" t="s">
        <v>9</v>
      </c>
      <c r="Q2" s="7" t="s">
        <v>10</v>
      </c>
      <c r="R2" s="7" t="s">
        <v>11</v>
      </c>
      <c r="U2" s="6" t="s">
        <v>9</v>
      </c>
      <c r="V2" s="7" t="s">
        <v>10</v>
      </c>
      <c r="W2" s="7" t="s">
        <v>11</v>
      </c>
    </row>
    <row r="3" spans="1:23" ht="15" thickTop="1" x14ac:dyDescent="0.3">
      <c r="A3" s="11" t="s">
        <v>0</v>
      </c>
      <c r="B3" s="5">
        <v>24000</v>
      </c>
      <c r="C3" s="5"/>
      <c r="F3" s="11" t="s">
        <v>0</v>
      </c>
      <c r="G3" s="5">
        <v>30000</v>
      </c>
      <c r="H3" s="5"/>
      <c r="K3" s="11" t="s">
        <v>0</v>
      </c>
      <c r="L3" s="5">
        <v>45000</v>
      </c>
      <c r="M3" s="5"/>
      <c r="P3" s="11" t="s">
        <v>0</v>
      </c>
      <c r="Q3" s="5">
        <v>50000</v>
      </c>
      <c r="R3" s="5"/>
      <c r="U3" s="11" t="s">
        <v>0</v>
      </c>
      <c r="V3" s="5">
        <v>53000</v>
      </c>
      <c r="W3" s="5"/>
    </row>
    <row r="4" spans="1:23" x14ac:dyDescent="0.3">
      <c r="A4" s="12" t="s">
        <v>4</v>
      </c>
      <c r="B4" s="5">
        <v>20</v>
      </c>
      <c r="C4" s="5"/>
      <c r="F4" s="12" t="s">
        <v>4</v>
      </c>
      <c r="G4" s="5">
        <v>20</v>
      </c>
      <c r="H4" s="5"/>
      <c r="K4" s="12" t="s">
        <v>7</v>
      </c>
      <c r="L4" s="15">
        <v>5</v>
      </c>
      <c r="M4" s="5"/>
      <c r="P4" s="12" t="s">
        <v>7</v>
      </c>
      <c r="Q4" s="15">
        <v>6</v>
      </c>
      <c r="R4" s="5"/>
      <c r="U4" s="12" t="s">
        <v>7</v>
      </c>
      <c r="V4" s="15">
        <v>7</v>
      </c>
      <c r="W4" s="5"/>
    </row>
    <row r="5" spans="1:23" x14ac:dyDescent="0.3">
      <c r="A5" s="12" t="s">
        <v>7</v>
      </c>
      <c r="B5" s="15">
        <v>5</v>
      </c>
      <c r="C5" s="5"/>
      <c r="F5" s="12" t="s">
        <v>7</v>
      </c>
      <c r="G5" s="15">
        <v>7</v>
      </c>
      <c r="H5" s="5"/>
      <c r="K5" s="12" t="s">
        <v>1</v>
      </c>
      <c r="L5" s="5">
        <v>0</v>
      </c>
      <c r="M5" s="5" t="s">
        <v>29</v>
      </c>
      <c r="P5" s="12" t="s">
        <v>1</v>
      </c>
      <c r="Q5" s="5">
        <v>0</v>
      </c>
      <c r="R5" s="5" t="s">
        <v>29</v>
      </c>
      <c r="U5" s="12" t="s">
        <v>1</v>
      </c>
      <c r="V5" s="5">
        <v>5000</v>
      </c>
      <c r="W5" s="5" t="s">
        <v>29</v>
      </c>
    </row>
    <row r="6" spans="1:23" ht="28.8" x14ac:dyDescent="0.3">
      <c r="A6" s="12" t="s">
        <v>1</v>
      </c>
      <c r="B6" s="5">
        <v>0</v>
      </c>
      <c r="C6" s="5" t="s">
        <v>22</v>
      </c>
      <c r="F6" s="12" t="s">
        <v>1</v>
      </c>
      <c r="G6" s="5">
        <v>5000</v>
      </c>
      <c r="H6" s="5" t="s">
        <v>22</v>
      </c>
      <c r="K6" s="16" t="s">
        <v>24</v>
      </c>
      <c r="L6" s="25">
        <v>2000</v>
      </c>
      <c r="M6" s="5"/>
      <c r="P6" s="16" t="s">
        <v>24</v>
      </c>
      <c r="Q6" s="25">
        <v>2000</v>
      </c>
      <c r="R6" s="5"/>
      <c r="U6" s="16" t="s">
        <v>24</v>
      </c>
      <c r="V6" s="25">
        <v>2000</v>
      </c>
      <c r="W6" s="5"/>
    </row>
    <row r="7" spans="1:23" ht="28.8" x14ac:dyDescent="0.3">
      <c r="A7" s="16" t="s">
        <v>14</v>
      </c>
      <c r="B7" s="5">
        <v>40000</v>
      </c>
      <c r="C7" s="5"/>
      <c r="F7" s="16" t="s">
        <v>14</v>
      </c>
      <c r="G7" s="5">
        <v>40000</v>
      </c>
      <c r="H7" s="5"/>
      <c r="I7" s="26"/>
      <c r="J7" s="24"/>
      <c r="K7" s="16" t="s">
        <v>27</v>
      </c>
      <c r="L7" s="5">
        <v>70.900000000000006</v>
      </c>
      <c r="M7" s="5"/>
      <c r="P7" s="16" t="s">
        <v>27</v>
      </c>
      <c r="Q7" s="5">
        <v>70.900000000000006</v>
      </c>
      <c r="R7" s="5"/>
      <c r="U7" s="16" t="s">
        <v>27</v>
      </c>
      <c r="V7" s="5">
        <v>70.900000000000006</v>
      </c>
      <c r="W7" s="5"/>
    </row>
    <row r="8" spans="1:23" ht="43.2" x14ac:dyDescent="0.3">
      <c r="A8" s="16" t="s">
        <v>18</v>
      </c>
      <c r="B8" s="5">
        <v>52.5</v>
      </c>
      <c r="C8" s="3" t="s">
        <v>19</v>
      </c>
      <c r="F8" s="16" t="s">
        <v>18</v>
      </c>
      <c r="G8" s="5">
        <v>52.5</v>
      </c>
      <c r="H8" s="3" t="s">
        <v>19</v>
      </c>
      <c r="K8" s="14" t="s">
        <v>6</v>
      </c>
      <c r="L8" s="5">
        <f>L3*L4/100</f>
        <v>2250</v>
      </c>
      <c r="M8" s="3" t="s">
        <v>8</v>
      </c>
      <c r="P8" s="14" t="s">
        <v>6</v>
      </c>
      <c r="Q8" s="5">
        <f>Q3*Q4/100</f>
        <v>3000</v>
      </c>
      <c r="R8" s="3" t="s">
        <v>8</v>
      </c>
      <c r="U8" s="14" t="s">
        <v>6</v>
      </c>
      <c r="V8" s="5">
        <f>V3*V4/100</f>
        <v>3710</v>
      </c>
      <c r="W8" s="3" t="s">
        <v>8</v>
      </c>
    </row>
    <row r="9" spans="1:23" ht="28.8" x14ac:dyDescent="0.3">
      <c r="A9" s="13" t="s">
        <v>3</v>
      </c>
      <c r="B9" s="5">
        <f>(B4/100)*B3</f>
        <v>4800</v>
      </c>
      <c r="C9" s="4" t="s">
        <v>5</v>
      </c>
      <c r="F9" s="13" t="s">
        <v>3</v>
      </c>
      <c r="G9" s="5">
        <f>(G4/100)*G3</f>
        <v>6000</v>
      </c>
      <c r="H9" s="4" t="s">
        <v>5</v>
      </c>
      <c r="K9" s="23" t="s">
        <v>21</v>
      </c>
      <c r="L9" s="5">
        <f>L5/3</f>
        <v>0</v>
      </c>
      <c r="M9" s="3"/>
      <c r="P9" s="23" t="s">
        <v>21</v>
      </c>
      <c r="Q9" s="5">
        <f>Q5/3</f>
        <v>0</v>
      </c>
      <c r="R9" s="3"/>
      <c r="U9" s="23" t="s">
        <v>21</v>
      </c>
      <c r="V9" s="5">
        <f>V5/3</f>
        <v>1666.6666666666667</v>
      </c>
      <c r="W9" s="3"/>
    </row>
    <row r="10" spans="1:23" ht="28.8" x14ac:dyDescent="0.3">
      <c r="A10" s="14" t="s">
        <v>2</v>
      </c>
      <c r="B10" s="5">
        <f>0.2375*B9</f>
        <v>1140</v>
      </c>
      <c r="C10" s="4"/>
      <c r="F10" s="14" t="s">
        <v>2</v>
      </c>
      <c r="G10" s="5">
        <f>0.2375*G9</f>
        <v>1425</v>
      </c>
      <c r="H10" s="4"/>
      <c r="K10" s="18" t="s">
        <v>12</v>
      </c>
      <c r="L10" s="5">
        <f>L3+L8+L9</f>
        <v>47250</v>
      </c>
      <c r="M10" s="3"/>
      <c r="P10" s="18" t="s">
        <v>12</v>
      </c>
      <c r="Q10" s="5">
        <f>Q3+Q8+Q9</f>
        <v>53000</v>
      </c>
      <c r="R10" s="3"/>
      <c r="U10" s="18" t="s">
        <v>12</v>
      </c>
      <c r="V10" s="5">
        <f>V3+V8+V9</f>
        <v>58376.666666666664</v>
      </c>
      <c r="W10" s="3"/>
    </row>
    <row r="11" spans="1:23" ht="86.4" x14ac:dyDescent="0.3">
      <c r="A11" s="14" t="s">
        <v>6</v>
      </c>
      <c r="B11" s="5">
        <f>B3*B5/100</f>
        <v>1200</v>
      </c>
      <c r="C11" s="3" t="s">
        <v>8</v>
      </c>
      <c r="F11" s="14" t="s">
        <v>6</v>
      </c>
      <c r="G11" s="5">
        <f>G3*G5/100</f>
        <v>2100</v>
      </c>
      <c r="H11" s="3" t="s">
        <v>8</v>
      </c>
      <c r="K11" s="17" t="s">
        <v>13</v>
      </c>
      <c r="L11" s="5">
        <v>3128</v>
      </c>
      <c r="M11" s="3" t="s">
        <v>28</v>
      </c>
      <c r="P11" s="17" t="s">
        <v>13</v>
      </c>
      <c r="Q11" s="5">
        <v>3473</v>
      </c>
      <c r="R11" s="3" t="s">
        <v>28</v>
      </c>
      <c r="U11" s="17" t="s">
        <v>13</v>
      </c>
      <c r="V11" s="5">
        <v>3701</v>
      </c>
      <c r="W11" s="3" t="s">
        <v>28</v>
      </c>
    </row>
    <row r="12" spans="1:23" x14ac:dyDescent="0.3">
      <c r="A12" s="23" t="s">
        <v>21</v>
      </c>
      <c r="B12" s="5">
        <f>B6/4</f>
        <v>0</v>
      </c>
      <c r="C12" s="3"/>
      <c r="F12" s="23" t="s">
        <v>21</v>
      </c>
      <c r="G12" s="5">
        <f>G6/4</f>
        <v>1250</v>
      </c>
      <c r="H12" s="3"/>
      <c r="K12" s="14" t="s">
        <v>25</v>
      </c>
      <c r="L12" s="19">
        <f>L11-L6</f>
        <v>1128</v>
      </c>
      <c r="M12" s="5"/>
      <c r="P12" s="14" t="s">
        <v>25</v>
      </c>
      <c r="Q12" s="19">
        <f>Q11-Q6</f>
        <v>1473</v>
      </c>
      <c r="R12" s="5"/>
      <c r="U12" s="14" t="s">
        <v>25</v>
      </c>
      <c r="V12" s="19">
        <f>V11-V6</f>
        <v>1701</v>
      </c>
      <c r="W12" s="5"/>
    </row>
    <row r="13" spans="1:23" ht="29.4" thickBot="1" x14ac:dyDescent="0.35">
      <c r="A13" s="18" t="s">
        <v>12</v>
      </c>
      <c r="B13" s="5">
        <f>B3+B10+B11+B12</f>
        <v>26340</v>
      </c>
      <c r="C13" s="3"/>
      <c r="F13" s="18" t="s">
        <v>12</v>
      </c>
      <c r="G13" s="5">
        <f>G3+G10+G11+G12</f>
        <v>34775</v>
      </c>
      <c r="H13" s="3"/>
      <c r="K13" s="20" t="s">
        <v>17</v>
      </c>
      <c r="L13" s="21">
        <f>L12*L7</f>
        <v>79975.200000000012</v>
      </c>
      <c r="M13" s="22"/>
      <c r="P13" s="20" t="s">
        <v>17</v>
      </c>
      <c r="Q13" s="21">
        <f>Q12*Q7</f>
        <v>104435.70000000001</v>
      </c>
      <c r="R13" s="22"/>
      <c r="U13" s="20" t="s">
        <v>17</v>
      </c>
      <c r="V13" s="21">
        <f>V12*V7</f>
        <v>120600.90000000001</v>
      </c>
      <c r="W13" s="22"/>
    </row>
    <row r="14" spans="1:23" ht="58.2" thickTop="1" x14ac:dyDescent="0.3">
      <c r="A14" s="17" t="s">
        <v>13</v>
      </c>
      <c r="B14" s="5">
        <v>1621</v>
      </c>
      <c r="C14" s="3" t="s">
        <v>26</v>
      </c>
      <c r="F14" s="17" t="s">
        <v>13</v>
      </c>
      <c r="G14" s="5">
        <v>2131</v>
      </c>
      <c r="H14" s="3" t="s">
        <v>26</v>
      </c>
    </row>
    <row r="15" spans="1:23" x14ac:dyDescent="0.3">
      <c r="A15" s="14" t="s">
        <v>16</v>
      </c>
      <c r="B15" s="19">
        <f>B14-B7/B8</f>
        <v>859.09523809523807</v>
      </c>
      <c r="C15" s="5"/>
      <c r="F15" s="14" t="s">
        <v>16</v>
      </c>
      <c r="G15" s="19">
        <f>G14-G7/G8</f>
        <v>1369.0952380952381</v>
      </c>
      <c r="H15" s="5"/>
    </row>
    <row r="16" spans="1:23" ht="15" thickBot="1" x14ac:dyDescent="0.35">
      <c r="A16" s="20" t="s">
        <v>17</v>
      </c>
      <c r="B16" s="21">
        <f>B15*B8</f>
        <v>45102.5</v>
      </c>
      <c r="C16" s="22"/>
      <c r="F16" s="20" t="s">
        <v>17</v>
      </c>
      <c r="G16" s="21">
        <f>G15*G8</f>
        <v>71877.5</v>
      </c>
      <c r="H16" s="22"/>
    </row>
    <row r="17" spans="10:11" ht="15" thickTop="1" x14ac:dyDescent="0.3"/>
    <row r="23" spans="10:11" x14ac:dyDescent="0.3">
      <c r="J23" s="1"/>
    </row>
    <row r="24" spans="10:11" x14ac:dyDescent="0.3">
      <c r="J24" s="2"/>
      <c r="K24" s="1"/>
    </row>
    <row r="25" spans="10:11" x14ac:dyDescent="0.3">
      <c r="J25" s="2"/>
      <c r="K25" s="2"/>
    </row>
    <row r="26" spans="10:11" x14ac:dyDescent="0.3">
      <c r="J26" s="2"/>
      <c r="K26" s="2"/>
    </row>
    <row r="27" spans="10:11" x14ac:dyDescent="0.3">
      <c r="J27" s="2"/>
      <c r="K27" s="2"/>
    </row>
    <row r="28" spans="10:11" x14ac:dyDescent="0.3">
      <c r="J28" s="2"/>
      <c r="K28" s="2"/>
    </row>
    <row r="29" spans="10:11" x14ac:dyDescent="0.3">
      <c r="J29" s="2"/>
      <c r="K29" s="2"/>
    </row>
    <row r="30" spans="10:11" x14ac:dyDescent="0.3">
      <c r="J30" s="2"/>
      <c r="K30" s="2"/>
    </row>
    <row r="31" spans="10:11" x14ac:dyDescent="0.3">
      <c r="J31" s="2"/>
      <c r="K31" s="2"/>
    </row>
    <row r="32" spans="10:11" x14ac:dyDescent="0.3">
      <c r="J32" s="2"/>
      <c r="K32" s="2"/>
    </row>
    <row r="33" spans="10:11" x14ac:dyDescent="0.3">
      <c r="J33" s="2"/>
      <c r="K33" s="2"/>
    </row>
    <row r="34" spans="10:11" x14ac:dyDescent="0.3">
      <c r="J34" s="2"/>
      <c r="K34" s="2"/>
    </row>
    <row r="35" spans="10:11" x14ac:dyDescent="0.3">
      <c r="J35" s="2"/>
      <c r="K35" s="2"/>
    </row>
    <row r="36" spans="10:11" x14ac:dyDescent="0.3">
      <c r="K36" s="2"/>
    </row>
  </sheetData>
  <mergeCells count="7">
    <mergeCell ref="P1:R1"/>
    <mergeCell ref="U1:W1"/>
    <mergeCell ref="C9:C10"/>
    <mergeCell ref="A1:C1"/>
    <mergeCell ref="F1:H1"/>
    <mergeCell ref="H9:H10"/>
    <mergeCell ref="K1:M1"/>
  </mergeCells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689b4-8f87-40e0-9c6f-7228de4d754a}" enabled="0" method="" siteId="{eaa689b4-8f87-40e0-9c6f-7228de4d75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Fahmy, Omar</dc:creator>
  <cp:lastModifiedBy>Fahmy, Omar</cp:lastModifiedBy>
  <dcterms:created xsi:type="dcterms:W3CDTF">2026-04-19T12:25:44Z</dcterms:created>
  <dcterms:modified xsi:type="dcterms:W3CDTF">2026-04-19T22:28:55Z</dcterms:modified>
</cp:coreProperties>
</file>