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ersonal_Stuff\Study_Plan_and_Interviews_Preparation\Mediatek Interview Process\"/>
    </mc:Choice>
  </mc:AlternateContent>
  <xr:revisionPtr revIDLastSave="0" documentId="13_ncr:1_{A121D46B-171C-4C03-8C83-E5F0EFB573E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puts" sheetId="1" r:id="rId1"/>
    <sheet name="Monthly Schedule" sheetId="2" r:id="rId2"/>
  </sheets>
  <definedNames>
    <definedName name="Appraisal_Proration_Jan2027">Inputs!$B$10</definedName>
    <definedName name="Appraisal_Raise_Pct_Jan2027">Inputs!$B$9</definedName>
    <definedName name="Appraisal_Raise_Pct_Jan2028">Inputs!$B$11</definedName>
    <definedName name="Base_Annual_Salary_2026">Inputs!$B$8</definedName>
    <definedName name="Join_Date">Inputs!$B$4</definedName>
    <definedName name="LPTA_Annual_Grant_Pct">Inputs!$B$17</definedName>
    <definedName name="ST_Bonus_Split_Aug">Inputs!$B$15</definedName>
    <definedName name="ST_Bonus_Split_Feb">Inputs!$B$14</definedName>
    <definedName name="ST_Bonus_Target_Pct">Inputs!$B$13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L7" i="2"/>
  <c r="A7" i="2"/>
  <c r="L6" i="2"/>
  <c r="A6" i="2"/>
  <c r="L5" i="2"/>
  <c r="A5" i="2"/>
  <c r="L4" i="2"/>
  <c r="A4" i="2"/>
  <c r="L3" i="2"/>
  <c r="A3" i="2"/>
  <c r="L2" i="2"/>
  <c r="D2" i="2"/>
  <c r="C2" i="2"/>
  <c r="B2" i="2"/>
  <c r="E2" i="2" l="1"/>
  <c r="D3" i="2"/>
  <c r="C3" i="2"/>
  <c r="B3" i="2"/>
  <c r="D4" i="2"/>
  <c r="C4" i="2"/>
  <c r="B4" i="2"/>
  <c r="D5" i="2"/>
  <c r="C5" i="2"/>
  <c r="B5" i="2"/>
  <c r="D6" i="2"/>
  <c r="C6" i="2"/>
  <c r="B6" i="2"/>
  <c r="D7" i="2"/>
  <c r="C7" i="2"/>
  <c r="B7" i="2"/>
  <c r="D8" i="2"/>
  <c r="C8" i="2"/>
  <c r="B8" i="2"/>
  <c r="D9" i="2"/>
  <c r="C9" i="2"/>
  <c r="B9" i="2"/>
  <c r="D10" i="2"/>
  <c r="C10" i="2"/>
  <c r="B10" i="2"/>
  <c r="D11" i="2"/>
  <c r="C11" i="2"/>
  <c r="B11" i="2"/>
  <c r="D12" i="2"/>
  <c r="C12" i="2"/>
  <c r="B12" i="2"/>
  <c r="D13" i="2"/>
  <c r="C13" i="2"/>
  <c r="B13" i="2"/>
  <c r="D14" i="2"/>
  <c r="C14" i="2"/>
  <c r="B14" i="2"/>
  <c r="D15" i="2"/>
  <c r="C15" i="2"/>
  <c r="B15" i="2"/>
  <c r="D16" i="2"/>
  <c r="C16" i="2"/>
  <c r="B16" i="2"/>
  <c r="D17" i="2"/>
  <c r="C17" i="2"/>
  <c r="B17" i="2"/>
  <c r="D18" i="2"/>
  <c r="C18" i="2"/>
  <c r="B18" i="2"/>
  <c r="D19" i="2"/>
  <c r="C19" i="2"/>
  <c r="B19" i="2"/>
  <c r="D20" i="2"/>
  <c r="C20" i="2"/>
  <c r="B20" i="2"/>
  <c r="D21" i="2"/>
  <c r="C21" i="2"/>
  <c r="B21" i="2"/>
  <c r="D22" i="2"/>
  <c r="C22" i="2"/>
  <c r="B22" i="2"/>
  <c r="D23" i="2"/>
  <c r="C23" i="2"/>
  <c r="B23" i="2"/>
  <c r="D24" i="2"/>
  <c r="C24" i="2"/>
  <c r="B24" i="2"/>
  <c r="D25" i="2"/>
  <c r="C25" i="2"/>
  <c r="B25" i="2"/>
  <c r="D26" i="2"/>
  <c r="C26" i="2"/>
  <c r="B26" i="2"/>
  <c r="D27" i="2"/>
  <c r="C27" i="2"/>
  <c r="B27" i="2"/>
  <c r="D28" i="2"/>
  <c r="C28" i="2"/>
  <c r="B28" i="2"/>
  <c r="D29" i="2"/>
  <c r="C29" i="2"/>
  <c r="B29" i="2"/>
  <c r="D30" i="2"/>
  <c r="C30" i="2"/>
  <c r="B30" i="2"/>
  <c r="E5" i="2" l="1"/>
  <c r="E29" i="2"/>
  <c r="E28" i="2"/>
  <c r="E25" i="2"/>
  <c r="E11" i="2"/>
  <c r="E20" i="2"/>
  <c r="E15" i="2"/>
  <c r="E14" i="2"/>
  <c r="E24" i="2"/>
  <c r="E10" i="2"/>
  <c r="E19" i="2"/>
  <c r="E22" i="2"/>
  <c r="E9" i="2"/>
  <c r="E23" i="2"/>
  <c r="E17" i="2"/>
  <c r="E12" i="2"/>
  <c r="E26" i="2"/>
  <c r="E18" i="2"/>
  <c r="E27" i="2"/>
  <c r="E13" i="2"/>
  <c r="E8" i="2"/>
  <c r="E3" i="2"/>
  <c r="E21" i="2"/>
  <c r="E7" i="2"/>
  <c r="E30" i="2"/>
  <c r="E16" i="2"/>
  <c r="E4" i="2"/>
  <c r="E6" i="2"/>
  <c r="G6" i="2" l="1"/>
  <c r="G18" i="2"/>
  <c r="G30" i="2"/>
</calcChain>
</file>

<file path=xl/sharedStrings.xml><?xml version="1.0" encoding="utf-8"?>
<sst xmlns="http://schemas.openxmlformats.org/spreadsheetml/2006/main" count="33" uniqueCount="32">
  <si>
    <t>Mediatek Income Model — Inputs (editable assumptions)</t>
  </si>
  <si>
    <t>Timeline</t>
  </si>
  <si>
    <t>Join_Date</t>
  </si>
  <si>
    <t>Schedule_Start_Month</t>
  </si>
  <si>
    <t>Schedule_End_Month</t>
  </si>
  <si>
    <t>Base Salary</t>
  </si>
  <si>
    <t>Base_Annual_Salary_2026</t>
  </si>
  <si>
    <t>Appraisal_Raise_Pct_Jan2027</t>
  </si>
  <si>
    <t>Appraisal_Proration_Jan2027 (fraction of year)</t>
  </si>
  <si>
    <t>Appraisal_Raise_Pct_Jan2028</t>
  </si>
  <si>
    <t>Short-Term Performance Bonus (assumed until HR confirms)</t>
  </si>
  <si>
    <t>ST_Bonus_Target_Pct (annual)</t>
  </si>
  <si>
    <t>ST_Bonus_Split_Feb</t>
  </si>
  <si>
    <t>ST_Bonus_Split_Aug</t>
  </si>
  <si>
    <t>LPTA (assumed until HR confirms)</t>
  </si>
  <si>
    <t>LPTA_Annual_Grant_Pct</t>
  </si>
  <si>
    <t>Notes</t>
  </si>
  <si>
    <t>• Appraisal raises are split into two editable inputs (Jan 2027, Jan 2028). The Jan 2027 raise is multiplied by Appraisal_Proration_Jan2027 (default 5/12 for Aug–Dec 2026 service).</t>
  </si>
  <si>
    <t>• Short-term performance bonus is assumed as an annual % target, paid only starting Feb 2027 (per HR) in Feb/Aug. Feb payout is prorated by months worked in Jul–Dec window; Aug payout prorated by months worked in Jan–Jun window.</t>
  </si>
  <si>
    <t>• LPTA is modeled as an annual cash grant equal to LPTA_Annual_Grant_Pct × annual salary of the grant year. 2026 grant is prorated by Appraisal_Proration_Jan2027 (Aug–Dec). It is paid in 4 equal installments on Feb/Aug over the next 2 years; 2027 grant overlaps in 2028 (Feb/Aug).</t>
  </si>
  <si>
    <t>• All bonus/LPTA assumptions are placeholders until HR confirms exact Mediatek policy.</t>
  </si>
  <si>
    <t>Month</t>
  </si>
  <si>
    <t>Short-Term Bonus</t>
  </si>
  <si>
    <t>Total Monthly Income</t>
  </si>
  <si>
    <t>LPTA Helper (hidden)</t>
  </si>
  <si>
    <t>Grant Year</t>
  </si>
  <si>
    <t>Pay Date</t>
  </si>
  <si>
    <t>Pay Amount</t>
  </si>
  <si>
    <t>Total Income in 2026</t>
  </si>
  <si>
    <t>Total Income in 2027</t>
  </si>
  <si>
    <t>Total Income in 2028</t>
  </si>
  <si>
    <t>LPTA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</si>
</sst>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-"/>
    <numFmt numFmtId="165" formatCode="mmm\ d\,\ yyyy"/>
    <numFmt numFmtId="166" formatCode="mmm\ yyyy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8EEF7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/>
      <bottom style="thick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ck">
        <color indexed="64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rgb="FFD0D0D0"/>
      </top>
      <bottom style="thick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0" borderId="1" xfId="0" applyFont="1" applyBorder="1"/>
    <xf numFmtId="165" fontId="0" fillId="0" borderId="1" xfId="0" applyNumberFormat="1" applyBorder="1"/>
    <xf numFmtId="164" fontId="0" fillId="0" borderId="1" xfId="0" applyNumberFormat="1" applyBorder="1"/>
    <xf numFmtId="10" fontId="0" fillId="0" borderId="1" xfId="0" applyNumberFormat="1" applyBorder="1"/>
    <xf numFmtId="0" fontId="4" fillId="4" borderId="1" xfId="0" applyFont="1" applyFill="1" applyBorder="1" applyAlignment="1">
      <alignment horizontal="center"/>
    </xf>
    <xf numFmtId="0" fontId="3" fillId="5" borderId="0" xfId="0" applyFont="1" applyFill="1"/>
    <xf numFmtId="166" fontId="0" fillId="0" borderId="1" xfId="0" applyNumberFormat="1" applyBorder="1"/>
    <xf numFmtId="164" fontId="0" fillId="0" borderId="1" xfId="0" applyNumberFormat="1" applyBorder="1" applyAlignment="1">
      <alignment horizontal="right"/>
    </xf>
    <xf numFmtId="165" fontId="0" fillId="0" borderId="0" xfId="0" applyNumberFormat="1"/>
    <xf numFmtId="164" fontId="0" fillId="0" borderId="0" xfId="0" applyNumberFormat="1"/>
    <xf numFmtId="0" fontId="4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/>
    <xf numFmtId="0" fontId="2" fillId="2" borderId="0" xfId="0" applyFont="1" applyFill="1" applyAlignment="1">
      <alignment horizontal="left"/>
    </xf>
    <xf numFmtId="0" fontId="2" fillId="3" borderId="0" xfId="0" applyFont="1" applyFill="1"/>
    <xf numFmtId="166" fontId="0" fillId="0" borderId="4" xfId="0" applyNumberFormat="1" applyBorder="1"/>
    <xf numFmtId="164" fontId="0" fillId="0" borderId="4" xfId="0" applyNumberFormat="1" applyBorder="1" applyAlignment="1">
      <alignment horizontal="right"/>
    </xf>
    <xf numFmtId="166" fontId="0" fillId="0" borderId="3" xfId="0" applyNumberFormat="1" applyBorder="1"/>
    <xf numFmtId="164" fontId="0" fillId="0" borderId="3" xfId="0" applyNumberFormat="1" applyBorder="1" applyAlignment="1">
      <alignment horizontal="right"/>
    </xf>
    <xf numFmtId="0" fontId="0" fillId="0" borderId="5" xfId="0" applyBorder="1"/>
    <xf numFmtId="0" fontId="4" fillId="4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/>
    <xf numFmtId="164" fontId="0" fillId="0" borderId="6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Total Monthly Income (Aug 2026 – Dec 2028)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Schedule'!$E$1</c:f>
              <c:strCache>
                <c:ptCount val="1"/>
                <c:pt idx="0">
                  <c:v>Total Monthly Income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'Monthly Schedule'!$A$2:$A$30</c:f>
              <c:numCache>
                <c:formatCode>mmm\ yyyy</c:formatCode>
                <c:ptCount val="29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</c:numCache>
            </c:numRef>
          </c:cat>
          <c:val>
            <c:numRef>
              <c:f>'Monthly Schedule'!$E$2:$E$30</c:f>
              <c:numCache>
                <c:formatCode>"$"#,##0.00_-</c:formatCode>
                <c:ptCount val="29"/>
                <c:pt idx="0">
                  <c:v>2760</c:v>
                </c:pt>
                <c:pt idx="1">
                  <c:v>2760</c:v>
                </c:pt>
                <c:pt idx="2">
                  <c:v>2760</c:v>
                </c:pt>
                <c:pt idx="3">
                  <c:v>2760</c:v>
                </c:pt>
                <c:pt idx="4">
                  <c:v>2760</c:v>
                </c:pt>
                <c:pt idx="5">
                  <c:v>2760</c:v>
                </c:pt>
                <c:pt idx="6">
                  <c:v>2760</c:v>
                </c:pt>
                <c:pt idx="7">
                  <c:v>2760</c:v>
                </c:pt>
                <c:pt idx="8">
                  <c:v>2760</c:v>
                </c:pt>
                <c:pt idx="9">
                  <c:v>2760</c:v>
                </c:pt>
                <c:pt idx="10">
                  <c:v>2760</c:v>
                </c:pt>
                <c:pt idx="11">
                  <c:v>2760</c:v>
                </c:pt>
                <c:pt idx="12">
                  <c:v>2760</c:v>
                </c:pt>
                <c:pt idx="13">
                  <c:v>2760</c:v>
                </c:pt>
                <c:pt idx="14">
                  <c:v>2760</c:v>
                </c:pt>
                <c:pt idx="15">
                  <c:v>2760</c:v>
                </c:pt>
                <c:pt idx="16">
                  <c:v>2760</c:v>
                </c:pt>
                <c:pt idx="17">
                  <c:v>2760</c:v>
                </c:pt>
                <c:pt idx="18">
                  <c:v>2760</c:v>
                </c:pt>
                <c:pt idx="19">
                  <c:v>2760</c:v>
                </c:pt>
                <c:pt idx="20">
                  <c:v>2760</c:v>
                </c:pt>
                <c:pt idx="21">
                  <c:v>2760</c:v>
                </c:pt>
                <c:pt idx="22">
                  <c:v>2760</c:v>
                </c:pt>
                <c:pt idx="23">
                  <c:v>2760</c:v>
                </c:pt>
                <c:pt idx="24">
                  <c:v>2760</c:v>
                </c:pt>
                <c:pt idx="25">
                  <c:v>2760</c:v>
                </c:pt>
                <c:pt idx="26">
                  <c:v>2760</c:v>
                </c:pt>
                <c:pt idx="27">
                  <c:v>2760</c:v>
                </c:pt>
                <c:pt idx="28">
                  <c:v>2760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BD-4BB1-B98C-0570C989A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mmm\ 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overlay val="1"/>
        </c:title>
        <c:numFmt formatCode="&quot;$&quot;#,##0.00_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32</xdr:row>
      <xdr:rowOff>0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workbookViewId="0">
      <selection activeCell="B9" sqref="B9"/>
    </sheetView>
  </sheetViews>
  <sheetFormatPr defaultRowHeight="14.4" x14ac:dyDescent="0.3"/>
  <cols>
    <col min="1" max="1" width="63.21875" bestFit="1" customWidth="1"/>
    <col min="2" max="2" width="10.6640625" bestFit="1" customWidth="1"/>
    <col min="3" max="3" width="49.6640625" customWidth="1"/>
  </cols>
  <sheetData>
    <row r="1" spans="1:3" ht="18" x14ac:dyDescent="0.35">
      <c r="A1" s="1" t="s">
        <v>0</v>
      </c>
    </row>
    <row r="3" spans="1:3" ht="15.6" x14ac:dyDescent="0.3">
      <c r="A3" s="16" t="s">
        <v>1</v>
      </c>
      <c r="B3" s="15"/>
      <c r="C3" s="15"/>
    </row>
    <row r="4" spans="1:3" x14ac:dyDescent="0.3">
      <c r="A4" s="2" t="s">
        <v>2</v>
      </c>
      <c r="B4" s="3">
        <v>46235</v>
      </c>
    </row>
    <row r="5" spans="1:3" x14ac:dyDescent="0.3">
      <c r="A5" s="2" t="s">
        <v>3</v>
      </c>
      <c r="B5" s="3">
        <v>46235</v>
      </c>
    </row>
    <row r="6" spans="1:3" x14ac:dyDescent="0.3">
      <c r="A6" s="2" t="s">
        <v>4</v>
      </c>
      <c r="B6" s="3">
        <v>47088</v>
      </c>
    </row>
    <row r="7" spans="1:3" ht="15.6" x14ac:dyDescent="0.3">
      <c r="A7" s="16" t="s">
        <v>5</v>
      </c>
      <c r="B7" s="15"/>
      <c r="C7" s="15"/>
    </row>
    <row r="8" spans="1:3" x14ac:dyDescent="0.3">
      <c r="A8" s="2" t="s">
        <v>6</v>
      </c>
      <c r="B8" s="4">
        <v>33120</v>
      </c>
    </row>
    <row r="9" spans="1:3" x14ac:dyDescent="0.3">
      <c r="A9" s="2" t="s">
        <v>7</v>
      </c>
      <c r="B9" s="5">
        <v>0</v>
      </c>
    </row>
    <row r="10" spans="1:3" x14ac:dyDescent="0.3">
      <c r="A10" s="2" t="s">
        <v>8</v>
      </c>
      <c r="B10" s="5">
        <f>(5/12)</f>
        <v>0.41666666666666669</v>
      </c>
    </row>
    <row r="11" spans="1:3" x14ac:dyDescent="0.3">
      <c r="A11" s="2" t="s">
        <v>9</v>
      </c>
      <c r="B11" s="5">
        <v>0</v>
      </c>
    </row>
    <row r="12" spans="1:3" ht="15.6" x14ac:dyDescent="0.3">
      <c r="A12" s="16" t="s">
        <v>10</v>
      </c>
      <c r="B12" s="15"/>
      <c r="C12" s="15"/>
    </row>
    <row r="13" spans="1:3" x14ac:dyDescent="0.3">
      <c r="A13" s="2" t="s">
        <v>11</v>
      </c>
      <c r="B13" s="5">
        <v>0</v>
      </c>
    </row>
    <row r="14" spans="1:3" x14ac:dyDescent="0.3">
      <c r="A14" s="2" t="s">
        <v>12</v>
      </c>
      <c r="B14" s="5">
        <v>0.5</v>
      </c>
    </row>
    <row r="15" spans="1:3" x14ac:dyDescent="0.3">
      <c r="A15" s="2" t="s">
        <v>13</v>
      </c>
      <c r="B15" s="5">
        <v>0.5</v>
      </c>
    </row>
    <row r="16" spans="1:3" ht="15.6" x14ac:dyDescent="0.3">
      <c r="A16" s="16" t="s">
        <v>14</v>
      </c>
      <c r="B16" s="15"/>
      <c r="C16" s="15"/>
    </row>
    <row r="17" spans="1:3" x14ac:dyDescent="0.3">
      <c r="A17" s="2" t="s">
        <v>15</v>
      </c>
      <c r="B17" s="5">
        <v>0</v>
      </c>
    </row>
    <row r="20" spans="1:3" ht="15.6" x14ac:dyDescent="0.3">
      <c r="A20" s="17" t="s">
        <v>16</v>
      </c>
      <c r="B20" s="15"/>
      <c r="C20" s="15"/>
    </row>
    <row r="21" spans="1:3" ht="36.6" customHeight="1" x14ac:dyDescent="0.3">
      <c r="A21" s="14" t="s">
        <v>17</v>
      </c>
      <c r="B21" s="15"/>
      <c r="C21" s="15"/>
    </row>
    <row r="22" spans="1:3" ht="35.4" customHeight="1" x14ac:dyDescent="0.3">
      <c r="A22" s="14" t="s">
        <v>18</v>
      </c>
      <c r="B22" s="14"/>
      <c r="C22" s="14"/>
    </row>
    <row r="23" spans="1:3" ht="39.6" customHeight="1" x14ac:dyDescent="0.3">
      <c r="A23" s="14" t="s">
        <v>19</v>
      </c>
      <c r="B23" s="15"/>
      <c r="C23" s="15"/>
    </row>
    <row r="24" spans="1:3" ht="24.6" customHeight="1" x14ac:dyDescent="0.3">
      <c r="A24" s="14" t="s">
        <v>20</v>
      </c>
      <c r="B24" s="15"/>
      <c r="C24" s="15"/>
    </row>
  </sheetData>
  <mergeCells count="9">
    <mergeCell ref="A24:C24"/>
    <mergeCell ref="A16:C16"/>
    <mergeCell ref="A23:C23"/>
    <mergeCell ref="A22:C22"/>
    <mergeCell ref="A3:C3"/>
    <mergeCell ref="A21:C21"/>
    <mergeCell ref="A12:C12"/>
    <mergeCell ref="A7:C7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tabSelected="1" workbookViewId="0">
      <pane ySplit="1" topLeftCell="A2" activePane="bottomLeft" state="frozen"/>
      <selection pane="bottomLeft" activeCell="L14" sqref="L14"/>
    </sheetView>
  </sheetViews>
  <sheetFormatPr defaultRowHeight="14.4" x14ac:dyDescent="0.3"/>
  <cols>
    <col min="1" max="2" width="14" customWidth="1"/>
    <col min="3" max="3" width="16" customWidth="1"/>
    <col min="4" max="4" width="12" customWidth="1"/>
    <col min="5" max="5" width="19.88671875" bestFit="1" customWidth="1"/>
    <col min="6" max="6" width="18.6640625" bestFit="1" customWidth="1"/>
    <col min="7" max="7" width="19" bestFit="1" customWidth="1"/>
    <col min="8" max="8" width="12.44140625" customWidth="1"/>
    <col min="9" max="9" width="19" bestFit="1" customWidth="1"/>
    <col min="10" max="10" width="9.77734375" bestFit="1" customWidth="1"/>
    <col min="11" max="11" width="10.33203125" bestFit="1" customWidth="1"/>
    <col min="12" max="12" width="11.44140625" bestFit="1" customWidth="1"/>
  </cols>
  <sheetData>
    <row r="1" spans="1:12" x14ac:dyDescent="0.3">
      <c r="A1" s="6" t="s">
        <v>21</v>
      </c>
      <c r="B1" s="6" t="s">
        <v>5</v>
      </c>
      <c r="C1" s="6" t="s">
        <v>22</v>
      </c>
      <c r="D1" s="6" t="s">
        <v>31</v>
      </c>
      <c r="E1" s="6" t="s">
        <v>23</v>
      </c>
      <c r="I1" s="7" t="s">
        <v>24</v>
      </c>
      <c r="J1" s="7" t="s">
        <v>25</v>
      </c>
      <c r="K1" s="7" t="s">
        <v>26</v>
      </c>
      <c r="L1" s="7" t="s">
        <v>27</v>
      </c>
    </row>
    <row r="2" spans="1:12" x14ac:dyDescent="0.3">
      <c r="A2" s="8">
        <v>46235</v>
      </c>
      <c r="B2" s="9">
        <f t="shared" ref="B2:B30" si="0">IF($A2&lt;DATE(2027,1,1),Base_Annual_Salary_2026/12,IF($A2&lt;DATE(2028,1,1),Base_Annual_Salary_2026*(1+Appraisal_Raise_Pct_Jan2027*Appraisal_Proration_Jan2027)/12,(Base_Annual_Salary_2026*(1+Appraisal_Raise_Pct_Jan2027*Appraisal_Proration_Jan2027))*(1+Appraisal_Raise_Pct_Jan2028)/12))</f>
        <v>2760</v>
      </c>
      <c r="C2" s="9">
        <f t="shared" ref="C2:C30" si="1">IF($A2&lt;DATE(2027,2,1),0,IF(MONTH($A2)=2,(IF(YEAR($A2)=2027,Base_Annual_Salary_2026,IF(YEAR($A2)=2028,Base_Annual_Salary_2026*(1+Appraisal_Raise_Pct_Jan2027*Appraisal_Proration_Jan2027),(Base_Annual_Salary_2026*(1+Appraisal_Raise_Pct_Jan2027*Appraisal_Proration_Jan2027))*(1+Appraisal_Raise_Pct_Jan2028)))*ST_Bonus_Target_Pct*ST_Bonus_Split_Feb*IF(YEAR($A2)=2027,(DATEDIF(MAX(Join_Date,DATE(2026,7,1)),DATE(2026,12,1),"m")+1)/6,1)),IF(MONTH($A2)=8,(IF(YEAR($A2)=2027,Base_Annual_Salary_2026*(1+Appraisal_Raise_Pct_Jan2027*Appraisal_Proration_Jan2027),IF(YEAR($A2)=2028,(Base_Annual_Salary_2026*(1+Appraisal_Raise_Pct_Jan2027*Appraisal_Proration_Jan2027))*(1+Appraisal_Raise_Pct_Jan2028),(Base_Annual_Salary_2026*(1+Appraisal_Raise_Pct_Jan2027*Appraisal_Proration_Jan2027))*(1+Appraisal_Raise_Pct_Jan2028)))*ST_Bonus_Target_Pct*ST_Bonus_Split_Aug*1),0)))</f>
        <v>0</v>
      </c>
      <c r="D2" s="9">
        <f>SUMIFS($L$2:$L$7,$K$2:$K$7,"&gt;="&amp;$A2,$K$2:$K$7,"&lt;"&amp;EDATE($A2,1))</f>
        <v>0</v>
      </c>
      <c r="E2" s="9">
        <f t="shared" ref="E2:E30" si="2">SUM(B2:D2)</f>
        <v>2760</v>
      </c>
      <c r="J2">
        <v>2026</v>
      </c>
      <c r="K2" s="10">
        <v>46419</v>
      </c>
      <c r="L2" s="11">
        <f>(IF(2026=2026,Base_Annual_Salary_2026,IF(2026=2027,Base_Annual_Salary_2026*(1+Appraisal_Raise_Pct_Jan2027*Appraisal_Proration_Jan2027),(Base_Annual_Salary_2026*(1+Appraisal_Raise_Pct_Jan2027*Appraisal_Proration_Jan2027))*(1+Appraisal_Raise_Pct_Jan2028))))*LPTA_Annual_Grant_Pct*Appraisal_Proration_Jan2027/4</f>
        <v>0</v>
      </c>
    </row>
    <row r="3" spans="1:12" x14ac:dyDescent="0.3">
      <c r="A3" s="8">
        <f>EDATE($A$2,1)</f>
        <v>46266</v>
      </c>
      <c r="B3" s="9">
        <f t="shared" si="0"/>
        <v>2760</v>
      </c>
      <c r="C3" s="9">
        <f t="shared" si="1"/>
        <v>0</v>
      </c>
      <c r="D3" s="9">
        <f>SUMIFS($L$2:$L$7,$K$2:$K$7,"&gt;="&amp;$A3,$K$2:$K$7,"&lt;"&amp;EDATE($A3,1))</f>
        <v>0</v>
      </c>
      <c r="E3" s="9">
        <f t="shared" si="2"/>
        <v>2760</v>
      </c>
      <c r="J3">
        <v>2026</v>
      </c>
      <c r="K3" s="10">
        <v>46600</v>
      </c>
      <c r="L3" s="11">
        <f>(IF(2026=2026,Base_Annual_Salary_2026,IF(2026=2027,Base_Annual_Salary_2026*(1+Appraisal_Raise_Pct_Jan2027*Appraisal_Proration_Jan2027),(Base_Annual_Salary_2026*(1+Appraisal_Raise_Pct_Jan2027*Appraisal_Proration_Jan2027))*(1+Appraisal_Raise_Pct_Jan2028))))*LPTA_Annual_Grant_Pct*Appraisal_Proration_Jan2027/4</f>
        <v>0</v>
      </c>
    </row>
    <row r="4" spans="1:12" x14ac:dyDescent="0.3">
      <c r="A4" s="8">
        <f>EDATE($A$2,2)</f>
        <v>46296</v>
      </c>
      <c r="B4" s="9">
        <f t="shared" si="0"/>
        <v>2760</v>
      </c>
      <c r="C4" s="9">
        <f t="shared" si="1"/>
        <v>0</v>
      </c>
      <c r="D4" s="9">
        <f>SUMIFS($L$2:$L$7,$K$2:$K$7,"&gt;="&amp;$A4,$K$2:$K$7,"&lt;"&amp;EDATE($A4,1))</f>
        <v>0</v>
      </c>
      <c r="E4" s="9">
        <f t="shared" si="2"/>
        <v>2760</v>
      </c>
      <c r="F4" s="13"/>
      <c r="J4">
        <v>2026</v>
      </c>
      <c r="K4" s="10">
        <v>46784</v>
      </c>
      <c r="L4" s="11">
        <f>(IF(2026=2026,Base_Annual_Salary_2026,IF(2026=2027,Base_Annual_Salary_2026*(1+Appraisal_Raise_Pct_Jan2027*Appraisal_Proration_Jan2027),(Base_Annual_Salary_2026*(1+Appraisal_Raise_Pct_Jan2027*Appraisal_Proration_Jan2027))*(1+Appraisal_Raise_Pct_Jan2028))))*LPTA_Annual_Grant_Pct*Appraisal_Proration_Jan2027/4</f>
        <v>0</v>
      </c>
    </row>
    <row r="5" spans="1:12" x14ac:dyDescent="0.3">
      <c r="A5" s="8">
        <f>EDATE($A$2,3)</f>
        <v>46327</v>
      </c>
      <c r="B5" s="9">
        <f t="shared" si="0"/>
        <v>2760</v>
      </c>
      <c r="C5" s="9">
        <f t="shared" si="1"/>
        <v>0</v>
      </c>
      <c r="D5" s="9">
        <f>SUMIFS($L$2:$L$7,$K$2:$K$7,"&gt;="&amp;$A5,$K$2:$K$7,"&lt;"&amp;EDATE($A5,1))</f>
        <v>0</v>
      </c>
      <c r="E5" s="9">
        <f t="shared" si="2"/>
        <v>2760</v>
      </c>
      <c r="F5" s="13"/>
      <c r="G5" s="12" t="s">
        <v>28</v>
      </c>
      <c r="J5">
        <v>2026</v>
      </c>
      <c r="K5" s="10">
        <v>46966</v>
      </c>
      <c r="L5" s="11">
        <f>(IF(2026=2026,Base_Annual_Salary_2026,IF(2026=2027,Base_Annual_Salary_2026*(1+Appraisal_Raise_Pct_Jan2027*Appraisal_Proration_Jan2027),(Base_Annual_Salary_2026*(1+Appraisal_Raise_Pct_Jan2027*Appraisal_Proration_Jan2027))*(1+Appraisal_Raise_Pct_Jan2028))))*LPTA_Annual_Grant_Pct*Appraisal_Proration_Jan2027/4</f>
        <v>0</v>
      </c>
    </row>
    <row r="6" spans="1:12" ht="15" thickBot="1" x14ac:dyDescent="0.35">
      <c r="A6" s="20">
        <f>EDATE($A$2,4)</f>
        <v>46357</v>
      </c>
      <c r="B6" s="21">
        <f t="shared" si="0"/>
        <v>2760</v>
      </c>
      <c r="C6" s="21">
        <f t="shared" si="1"/>
        <v>0</v>
      </c>
      <c r="D6" s="21">
        <f>SUMIFS($L$2:$L$7,$K$2:$K$7,"&gt;="&amp;$A6,$K$2:$K$7,"&lt;"&amp;EDATE($A6,1))</f>
        <v>0</v>
      </c>
      <c r="E6" s="21">
        <f t="shared" si="2"/>
        <v>2760</v>
      </c>
      <c r="F6" s="24"/>
      <c r="G6" s="26">
        <f>SUM(E2:E6)</f>
        <v>13800</v>
      </c>
      <c r="I6" s="25"/>
      <c r="J6">
        <v>2027</v>
      </c>
      <c r="K6" s="10">
        <v>46784</v>
      </c>
      <c r="L6" s="11">
        <f>(IF(2027=2026,Base_Annual_Salary_2026,IF(2027=2027,Base_Annual_Salary_2026*(1+Appraisal_Raise_Pct_Jan2027*Appraisal_Proration_Jan2027),(Base_Annual_Salary_2026*(1+Appraisal_Raise_Pct_Jan2027*Appraisal_Proration_Jan2027))*(1+Appraisal_Raise_Pct_Jan2028))))*LPTA_Annual_Grant_Pct*1/4</f>
        <v>0</v>
      </c>
    </row>
    <row r="7" spans="1:12" ht="15" thickTop="1" x14ac:dyDescent="0.3">
      <c r="A7" s="18">
        <f>EDATE($A$2,5)</f>
        <v>46388</v>
      </c>
      <c r="B7" s="19">
        <f t="shared" si="0"/>
        <v>2760</v>
      </c>
      <c r="C7" s="19">
        <f t="shared" si="1"/>
        <v>0</v>
      </c>
      <c r="D7" s="19">
        <f>SUMIFS($L$2:$L$7,$K$2:$K$7,"&gt;="&amp;$A7,$K$2:$K$7,"&lt;"&amp;EDATE($A7,1))</f>
        <v>0</v>
      </c>
      <c r="E7" s="19">
        <f t="shared" si="2"/>
        <v>2760</v>
      </c>
      <c r="I7" s="25"/>
      <c r="J7">
        <v>2027</v>
      </c>
      <c r="K7" s="10">
        <v>46966</v>
      </c>
      <c r="L7" s="11">
        <f>(IF(2027=2026,Base_Annual_Salary_2026,IF(2027=2027,Base_Annual_Salary_2026*(1+Appraisal_Raise_Pct_Jan2027*Appraisal_Proration_Jan2027),(Base_Annual_Salary_2026*(1+Appraisal_Raise_Pct_Jan2027*Appraisal_Proration_Jan2027))*(1+Appraisal_Raise_Pct_Jan2028))))*LPTA_Annual_Grant_Pct*1/4</f>
        <v>0</v>
      </c>
    </row>
    <row r="8" spans="1:12" x14ac:dyDescent="0.3">
      <c r="A8" s="8">
        <f>EDATE($A$2,6)</f>
        <v>46419</v>
      </c>
      <c r="B8" s="9">
        <f t="shared" si="0"/>
        <v>2760</v>
      </c>
      <c r="C8" s="9">
        <f t="shared" si="1"/>
        <v>0</v>
      </c>
      <c r="D8" s="9">
        <f>SUMIFS($L$2:$L$7,$K$2:$K$7,"&gt;="&amp;$A8,$K$2:$K$7,"&lt;"&amp;EDATE($A8,1))</f>
        <v>0</v>
      </c>
      <c r="E8" s="9">
        <f t="shared" si="2"/>
        <v>2760</v>
      </c>
    </row>
    <row r="9" spans="1:12" x14ac:dyDescent="0.3">
      <c r="A9" s="8">
        <f>EDATE($A$2,7)</f>
        <v>46447</v>
      </c>
      <c r="B9" s="9">
        <f t="shared" si="0"/>
        <v>2760</v>
      </c>
      <c r="C9" s="9">
        <f t="shared" si="1"/>
        <v>0</v>
      </c>
      <c r="D9" s="9">
        <f>SUMIFS($L$2:$L$7,$K$2:$K$7,"&gt;="&amp;$A9,$K$2:$K$7,"&lt;"&amp;EDATE($A9,1))</f>
        <v>0</v>
      </c>
      <c r="E9" s="9">
        <f t="shared" si="2"/>
        <v>2760</v>
      </c>
    </row>
    <row r="10" spans="1:12" x14ac:dyDescent="0.3">
      <c r="A10" s="8">
        <f>EDATE($A$2,8)</f>
        <v>46478</v>
      </c>
      <c r="B10" s="9">
        <f t="shared" si="0"/>
        <v>2760</v>
      </c>
      <c r="C10" s="9">
        <f t="shared" si="1"/>
        <v>0</v>
      </c>
      <c r="D10" s="9">
        <f>SUMIFS($L$2:$L$7,$K$2:$K$7,"&gt;="&amp;$A10,$K$2:$K$7,"&lt;"&amp;EDATE($A10,1))</f>
        <v>0</v>
      </c>
      <c r="E10" s="9">
        <f t="shared" si="2"/>
        <v>2760</v>
      </c>
      <c r="F10" s="13"/>
    </row>
    <row r="11" spans="1:12" x14ac:dyDescent="0.3">
      <c r="A11" s="8">
        <f>EDATE($A$2,9)</f>
        <v>46508</v>
      </c>
      <c r="B11" s="9">
        <f t="shared" si="0"/>
        <v>2760</v>
      </c>
      <c r="C11" s="9">
        <f t="shared" si="1"/>
        <v>0</v>
      </c>
      <c r="D11" s="9">
        <f>SUMIFS($L$2:$L$7,$K$2:$K$7,"&gt;="&amp;$A11,$K$2:$K$7,"&lt;"&amp;EDATE($A11,1))</f>
        <v>0</v>
      </c>
      <c r="E11" s="9">
        <f t="shared" si="2"/>
        <v>2760</v>
      </c>
      <c r="F11" s="13"/>
    </row>
    <row r="12" spans="1:12" x14ac:dyDescent="0.3">
      <c r="A12" s="8">
        <f>EDATE($A$2,10)</f>
        <v>46539</v>
      </c>
      <c r="B12" s="9">
        <f t="shared" si="0"/>
        <v>2760</v>
      </c>
      <c r="C12" s="9">
        <f t="shared" si="1"/>
        <v>0</v>
      </c>
      <c r="D12" s="9">
        <f>SUMIFS($L$2:$L$7,$K$2:$K$7,"&gt;="&amp;$A12,$K$2:$K$7,"&lt;"&amp;EDATE($A12,1))</f>
        <v>0</v>
      </c>
      <c r="E12" s="9">
        <f t="shared" si="2"/>
        <v>2760</v>
      </c>
      <c r="F12" s="13"/>
    </row>
    <row r="13" spans="1:12" x14ac:dyDescent="0.3">
      <c r="A13" s="8">
        <f>EDATE($A$2,11)</f>
        <v>46569</v>
      </c>
      <c r="B13" s="9">
        <f t="shared" si="0"/>
        <v>2760</v>
      </c>
      <c r="C13" s="9">
        <f t="shared" si="1"/>
        <v>0</v>
      </c>
      <c r="D13" s="9">
        <f>SUMIFS($L$2:$L$7,$K$2:$K$7,"&gt;="&amp;$A13,$K$2:$K$7,"&lt;"&amp;EDATE($A13,1))</f>
        <v>0</v>
      </c>
      <c r="E13" s="9">
        <f t="shared" si="2"/>
        <v>2760</v>
      </c>
      <c r="F13" s="13"/>
    </row>
    <row r="14" spans="1:12" x14ac:dyDescent="0.3">
      <c r="A14" s="8">
        <f>EDATE($A$2,12)</f>
        <v>46600</v>
      </c>
      <c r="B14" s="9">
        <f t="shared" si="0"/>
        <v>2760</v>
      </c>
      <c r="C14" s="9">
        <f t="shared" si="1"/>
        <v>0</v>
      </c>
      <c r="D14" s="9">
        <f>SUMIFS($L$2:$L$7,$K$2:$K$7,"&gt;="&amp;$A14,$K$2:$K$7,"&lt;"&amp;EDATE($A14,1))</f>
        <v>0</v>
      </c>
      <c r="E14" s="9">
        <f t="shared" si="2"/>
        <v>2760</v>
      </c>
      <c r="F14" s="13"/>
    </row>
    <row r="15" spans="1:12" x14ac:dyDescent="0.3">
      <c r="A15" s="8">
        <f>EDATE($A$2,13)</f>
        <v>46631</v>
      </c>
      <c r="B15" s="9">
        <f t="shared" si="0"/>
        <v>2760</v>
      </c>
      <c r="C15" s="9">
        <f t="shared" si="1"/>
        <v>0</v>
      </c>
      <c r="D15" s="9">
        <f>SUMIFS($L$2:$L$7,$K$2:$K$7,"&gt;="&amp;$A15,$K$2:$K$7,"&lt;"&amp;EDATE($A15,1))</f>
        <v>0</v>
      </c>
      <c r="E15" s="9">
        <f t="shared" si="2"/>
        <v>2760</v>
      </c>
      <c r="F15" s="13"/>
    </row>
    <row r="16" spans="1:12" x14ac:dyDescent="0.3">
      <c r="A16" s="8">
        <f>EDATE($A$2,14)</f>
        <v>46661</v>
      </c>
      <c r="B16" s="9">
        <f t="shared" si="0"/>
        <v>2760</v>
      </c>
      <c r="C16" s="9">
        <f t="shared" si="1"/>
        <v>0</v>
      </c>
      <c r="D16" s="9">
        <f>SUMIFS($L$2:$L$7,$K$2:$K$7,"&gt;="&amp;$A16,$K$2:$K$7,"&lt;"&amp;EDATE($A16,1))</f>
        <v>0</v>
      </c>
      <c r="E16" s="9">
        <f t="shared" si="2"/>
        <v>2760</v>
      </c>
      <c r="F16" s="13"/>
    </row>
    <row r="17" spans="1:7" x14ac:dyDescent="0.3">
      <c r="A17" s="8">
        <f>EDATE($A$2,15)</f>
        <v>46692</v>
      </c>
      <c r="B17" s="9">
        <f t="shared" si="0"/>
        <v>2760</v>
      </c>
      <c r="C17" s="9">
        <f t="shared" si="1"/>
        <v>0</v>
      </c>
      <c r="D17" s="9">
        <f>SUMIFS($L$2:$L$7,$K$2:$K$7,"&gt;="&amp;$A17,$K$2:$K$7,"&lt;"&amp;EDATE($A17,1))</f>
        <v>0</v>
      </c>
      <c r="E17" s="9">
        <f t="shared" si="2"/>
        <v>2760</v>
      </c>
      <c r="F17" s="13"/>
      <c r="G17" s="23" t="s">
        <v>29</v>
      </c>
    </row>
    <row r="18" spans="1:7" ht="15" thickBot="1" x14ac:dyDescent="0.35">
      <c r="A18" s="20">
        <f>EDATE($A$2,16)</f>
        <v>46722</v>
      </c>
      <c r="B18" s="21">
        <f t="shared" si="0"/>
        <v>2760</v>
      </c>
      <c r="C18" s="21">
        <f t="shared" si="1"/>
        <v>0</v>
      </c>
      <c r="D18" s="21">
        <f>SUMIFS($L$2:$L$7,$K$2:$K$7,"&gt;="&amp;$A18,$K$2:$K$7,"&lt;"&amp;EDATE($A18,1))</f>
        <v>0</v>
      </c>
      <c r="E18" s="21">
        <f t="shared" si="2"/>
        <v>2760</v>
      </c>
      <c r="F18" s="24"/>
      <c r="G18" s="26">
        <f>SUM(E7:E18)</f>
        <v>33120</v>
      </c>
    </row>
    <row r="19" spans="1:7" ht="15" thickTop="1" x14ac:dyDescent="0.3">
      <c r="A19" s="18">
        <f>EDATE($A$2,17)</f>
        <v>46753</v>
      </c>
      <c r="B19" s="19">
        <f t="shared" si="0"/>
        <v>2760</v>
      </c>
      <c r="C19" s="19">
        <f t="shared" si="1"/>
        <v>0</v>
      </c>
      <c r="D19" s="19">
        <f>SUMIFS($L$2:$L$7,$K$2:$K$7,"&gt;="&amp;$A19,$K$2:$K$7,"&lt;"&amp;EDATE($A19,1))</f>
        <v>0</v>
      </c>
      <c r="E19" s="19">
        <f t="shared" si="2"/>
        <v>2760</v>
      </c>
    </row>
    <row r="20" spans="1:7" x14ac:dyDescent="0.3">
      <c r="A20" s="8">
        <f>EDATE($A$2,18)</f>
        <v>46784</v>
      </c>
      <c r="B20" s="9">
        <f t="shared" si="0"/>
        <v>2760</v>
      </c>
      <c r="C20" s="9">
        <f t="shared" si="1"/>
        <v>0</v>
      </c>
      <c r="D20" s="9">
        <f>SUMIFS($L$2:$L$7,$K$2:$K$7,"&gt;="&amp;$A20,$K$2:$K$7,"&lt;"&amp;EDATE($A20,1))</f>
        <v>0</v>
      </c>
      <c r="E20" s="9">
        <f t="shared" si="2"/>
        <v>2760</v>
      </c>
    </row>
    <row r="21" spans="1:7" x14ac:dyDescent="0.3">
      <c r="A21" s="8">
        <f>EDATE($A$2,19)</f>
        <v>46813</v>
      </c>
      <c r="B21" s="9">
        <f t="shared" si="0"/>
        <v>2760</v>
      </c>
      <c r="C21" s="9">
        <f t="shared" si="1"/>
        <v>0</v>
      </c>
      <c r="D21" s="9">
        <f>SUMIFS($L$2:$L$7,$K$2:$K$7,"&gt;="&amp;$A21,$K$2:$K$7,"&lt;"&amp;EDATE($A21,1))</f>
        <v>0</v>
      </c>
      <c r="E21" s="9">
        <f t="shared" si="2"/>
        <v>2760</v>
      </c>
    </row>
    <row r="22" spans="1:7" x14ac:dyDescent="0.3">
      <c r="A22" s="8">
        <f>EDATE($A$2,20)</f>
        <v>46844</v>
      </c>
      <c r="B22" s="9">
        <f t="shared" si="0"/>
        <v>2760</v>
      </c>
      <c r="C22" s="9">
        <f t="shared" si="1"/>
        <v>0</v>
      </c>
      <c r="D22" s="9">
        <f>SUMIFS($L$2:$L$7,$K$2:$K$7,"&gt;="&amp;$A22,$K$2:$K$7,"&lt;"&amp;EDATE($A22,1))</f>
        <v>0</v>
      </c>
      <c r="E22" s="9">
        <f t="shared" si="2"/>
        <v>2760</v>
      </c>
    </row>
    <row r="23" spans="1:7" x14ac:dyDescent="0.3">
      <c r="A23" s="8">
        <f>EDATE($A$2,21)</f>
        <v>46874</v>
      </c>
      <c r="B23" s="9">
        <f t="shared" si="0"/>
        <v>2760</v>
      </c>
      <c r="C23" s="9">
        <f t="shared" si="1"/>
        <v>0</v>
      </c>
      <c r="D23" s="9">
        <f>SUMIFS($L$2:$L$7,$K$2:$K$7,"&gt;="&amp;$A23,$K$2:$K$7,"&lt;"&amp;EDATE($A23,1))</f>
        <v>0</v>
      </c>
      <c r="E23" s="9">
        <f t="shared" si="2"/>
        <v>2760</v>
      </c>
    </row>
    <row r="24" spans="1:7" x14ac:dyDescent="0.3">
      <c r="A24" s="8">
        <f>EDATE($A$2,22)</f>
        <v>46905</v>
      </c>
      <c r="B24" s="9">
        <f t="shared" si="0"/>
        <v>2760</v>
      </c>
      <c r="C24" s="9">
        <f t="shared" si="1"/>
        <v>0</v>
      </c>
      <c r="D24" s="9">
        <f>SUMIFS($L$2:$L$7,$K$2:$K$7,"&gt;="&amp;$A24,$K$2:$K$7,"&lt;"&amp;EDATE($A24,1))</f>
        <v>0</v>
      </c>
      <c r="E24" s="9">
        <f t="shared" si="2"/>
        <v>2760</v>
      </c>
    </row>
    <row r="25" spans="1:7" x14ac:dyDescent="0.3">
      <c r="A25" s="8">
        <f>EDATE($A$2,23)</f>
        <v>46935</v>
      </c>
      <c r="B25" s="9">
        <f t="shared" si="0"/>
        <v>2760</v>
      </c>
      <c r="C25" s="9">
        <f t="shared" si="1"/>
        <v>0</v>
      </c>
      <c r="D25" s="9">
        <f>SUMIFS($L$2:$L$7,$K$2:$K$7,"&gt;="&amp;$A25,$K$2:$K$7,"&lt;"&amp;EDATE($A25,1))</f>
        <v>0</v>
      </c>
      <c r="E25" s="9">
        <f t="shared" si="2"/>
        <v>2760</v>
      </c>
    </row>
    <row r="26" spans="1:7" x14ac:dyDescent="0.3">
      <c r="A26" s="8">
        <f>EDATE($A$2,24)</f>
        <v>46966</v>
      </c>
      <c r="B26" s="9">
        <f t="shared" si="0"/>
        <v>2760</v>
      </c>
      <c r="C26" s="9">
        <f t="shared" si="1"/>
        <v>0</v>
      </c>
      <c r="D26" s="9">
        <f>SUMIFS($L$2:$L$7,$K$2:$K$7,"&gt;="&amp;$A26,$K$2:$K$7,"&lt;"&amp;EDATE($A26,1))</f>
        <v>0</v>
      </c>
      <c r="E26" s="9">
        <f t="shared" si="2"/>
        <v>2760</v>
      </c>
    </row>
    <row r="27" spans="1:7" x14ac:dyDescent="0.3">
      <c r="A27" s="8">
        <f>EDATE($A$2,25)</f>
        <v>46997</v>
      </c>
      <c r="B27" s="9">
        <f t="shared" si="0"/>
        <v>2760</v>
      </c>
      <c r="C27" s="9">
        <f t="shared" si="1"/>
        <v>0</v>
      </c>
      <c r="D27" s="9">
        <f>SUMIFS($L$2:$L$7,$K$2:$K$7,"&gt;="&amp;$A27,$K$2:$K$7,"&lt;"&amp;EDATE($A27,1))</f>
        <v>0</v>
      </c>
      <c r="E27" s="9">
        <f t="shared" si="2"/>
        <v>2760</v>
      </c>
    </row>
    <row r="28" spans="1:7" x14ac:dyDescent="0.3">
      <c r="A28" s="8">
        <f>EDATE($A$2,26)</f>
        <v>47027</v>
      </c>
      <c r="B28" s="9">
        <f t="shared" si="0"/>
        <v>2760</v>
      </c>
      <c r="C28" s="9">
        <f t="shared" si="1"/>
        <v>0</v>
      </c>
      <c r="D28" s="9">
        <f>SUMIFS($L$2:$L$7,$K$2:$K$7,"&gt;="&amp;$A28,$K$2:$K$7,"&lt;"&amp;EDATE($A28,1))</f>
        <v>0</v>
      </c>
      <c r="E28" s="9">
        <f t="shared" si="2"/>
        <v>2760</v>
      </c>
    </row>
    <row r="29" spans="1:7" x14ac:dyDescent="0.3">
      <c r="A29" s="8">
        <f>EDATE($A$2,27)</f>
        <v>47058</v>
      </c>
      <c r="B29" s="9">
        <f t="shared" si="0"/>
        <v>2760</v>
      </c>
      <c r="C29" s="9">
        <f t="shared" si="1"/>
        <v>0</v>
      </c>
      <c r="D29" s="9">
        <f>SUMIFS($L$2:$L$7,$K$2:$K$7,"&gt;="&amp;$A29,$K$2:$K$7,"&lt;"&amp;EDATE($A29,1))</f>
        <v>0</v>
      </c>
      <c r="E29" s="9">
        <f t="shared" si="2"/>
        <v>2760</v>
      </c>
      <c r="G29" s="23" t="s">
        <v>30</v>
      </c>
    </row>
    <row r="30" spans="1:7" ht="15" thickBot="1" x14ac:dyDescent="0.35">
      <c r="A30" s="20">
        <f>EDATE($A$2,28)</f>
        <v>47088</v>
      </c>
      <c r="B30" s="21">
        <f t="shared" si="0"/>
        <v>2760</v>
      </c>
      <c r="C30" s="21">
        <f t="shared" si="1"/>
        <v>0</v>
      </c>
      <c r="D30" s="21">
        <f>SUMIFS($L$2:$L$7,$K$2:$K$7,"&gt;="&amp;$A30,$K$2:$K$7,"&lt;"&amp;EDATE($A30,1))</f>
        <v>0</v>
      </c>
      <c r="E30" s="21">
        <f t="shared" si="2"/>
        <v>2760</v>
      </c>
      <c r="F30" s="22"/>
      <c r="G30" s="26">
        <f>SUM(E19:E30)</f>
        <v>33120</v>
      </c>
    </row>
    <row r="31" spans="1:7" ht="15" thickTop="1" x14ac:dyDescent="0.3"/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Inputs</vt:lpstr>
      <vt:lpstr>Monthly Schedule</vt:lpstr>
      <vt:lpstr>Appraisal_Proration_Jan2027</vt:lpstr>
      <vt:lpstr>Appraisal_Raise_Pct_Jan2027</vt:lpstr>
      <vt:lpstr>Appraisal_Raise_Pct_Jan2028</vt:lpstr>
      <vt:lpstr>Base_Annual_Salary_2026</vt:lpstr>
      <vt:lpstr>Join_Date</vt:lpstr>
      <vt:lpstr>LPTA_Annual_Grant_Pct</vt:lpstr>
      <vt:lpstr>ST_Bonus_Split_Aug</vt:lpstr>
      <vt:lpstr>ST_Bonus_Split_Feb</vt:lpstr>
      <vt:lpstr>ST_Bonus_Target_Pct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Fahmy, Omar</dc:creator>
  <cp:keywords/>
  <dc:description/>
  <cp:lastModifiedBy>Fahmy, Omar</cp:lastModifiedBy>
  <cp:revision/>
  <dcterms:created xsi:type="dcterms:W3CDTF">2026-04-28T20:09:05Z</dcterms:created>
  <dcterms:modified xsi:type="dcterms:W3CDTF">2026-04-29T11:21:44Z</dcterms:modified>
  <cp:category/>
  <cp:contentStatus/>
</cp:coreProperties>
</file>