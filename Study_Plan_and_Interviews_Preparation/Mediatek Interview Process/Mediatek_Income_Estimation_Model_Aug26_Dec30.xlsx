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ersonal_Stuff\Study_Plan_and_Interviews_Preparation\Mediatek Interview Process\"/>
    </mc:Choice>
  </mc:AlternateContent>
  <xr:revisionPtr revIDLastSave="0" documentId="13_ncr:1_{34DC5F06-F109-4591-8492-EE22A40C894E}" xr6:coauthVersionLast="47" xr6:coauthVersionMax="47" xr10:uidLastSave="{00000000-0000-0000-0000-000000000000}"/>
  <bookViews>
    <workbookView xWindow="57480" yWindow="-120" windowWidth="29040" windowHeight="15720" activeTab="1" xr2:uid="{00000000-000D-0000-FFFF-FFFF00000000}"/>
  </bookViews>
  <sheets>
    <sheet name="Inputs" sheetId="1" r:id="rId1"/>
    <sheet name="Monthly Schedule" sheetId="2" r:id="rId2"/>
  </sheets>
  <externalReferences>
    <externalReference r:id="rId3"/>
  </externalReferences>
  <definedNames>
    <definedName name="Appraisal_Bonus_Pct_Jan2027">Inputs!$B$10</definedName>
    <definedName name="Appraisal_Bonus_Pct_Jan2028">Inputs!$B$11</definedName>
    <definedName name="Appraisal_Bonus_Pct_Jan2029">Inputs!$B$12</definedName>
    <definedName name="Appraisal_Bonus_Pct_Jan2030">Inputs!$B$13</definedName>
    <definedName name="Appraisal_Raise_Pct_Jan2027">Inputs!$B$5</definedName>
    <definedName name="Appraisal_Raise_Pct_Jan2028">Inputs!$B$6</definedName>
    <definedName name="Appraisal_Raise_Pct_Jan2029">Inputs!$B$7</definedName>
    <definedName name="Appraisal_Raise_Pct_Jan2030">Inputs!$B$8</definedName>
    <definedName name="Base_Annual_Salary_2026">Inputs!$B$4</definedName>
    <definedName name="Living_Expenses_EGP_Monthly">Inputs!$B$26</definedName>
    <definedName name="Living_Expenses_EGP_Monthly_2026">[1]Inputs!$B$24</definedName>
    <definedName name="Living_Expenses_EGP_Monthly_2027">[1]Inputs!$B$25</definedName>
    <definedName name="Living_Expenses_EGP_Monthly_2028">[1]Inputs!$B$26</definedName>
    <definedName name="Living_Expenses_EGP_Monthly_2029">[1]Inputs!$B$27</definedName>
    <definedName name="Living_Expenses_EGP_Monthly_2030">[1]Inputs!$B$28</definedName>
    <definedName name="LPTA_Grant_Pct_2026">Inputs!$B$15</definedName>
    <definedName name="LPTA_Grant_Pct_2027">Inputs!$B$16</definedName>
    <definedName name="LPTA_Grant_Pct_2028">Inputs!$B$17</definedName>
    <definedName name="LPTA_Grant_Pct_2029">Inputs!$B$18</definedName>
    <definedName name="LPTA_Grant_Pct_2030">Inputs!$B$19</definedName>
    <definedName name="Tax_Pct">Inputs!$B$21</definedName>
    <definedName name="USD_to_EGP">Inputs!$B$27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  <c r="B25" i="1"/>
  <c r="B24" i="1"/>
  <c r="B23" i="1"/>
  <c r="B54" i="2" l="1"/>
  <c r="B53" i="2"/>
  <c r="B52" i="2"/>
  <c r="B51" i="2"/>
  <c r="B50" i="2"/>
  <c r="B49" i="2"/>
  <c r="B48" i="2"/>
  <c r="B47" i="2"/>
  <c r="B46" i="2"/>
  <c r="B45" i="2"/>
  <c r="B44" i="2"/>
  <c r="B43" i="2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N14" i="2"/>
  <c r="B14" i="2"/>
  <c r="A14" i="2"/>
  <c r="N13" i="2"/>
  <c r="B13" i="2"/>
  <c r="A13" i="2"/>
  <c r="N12" i="2"/>
  <c r="B12" i="2"/>
  <c r="A12" i="2"/>
  <c r="N11" i="2"/>
  <c r="B11" i="2"/>
  <c r="A11" i="2"/>
  <c r="N10" i="2"/>
  <c r="B10" i="2"/>
  <c r="A10" i="2"/>
  <c r="N9" i="2"/>
  <c r="B9" i="2"/>
  <c r="A9" i="2"/>
  <c r="N8" i="2"/>
  <c r="B8" i="2"/>
  <c r="A8" i="2"/>
  <c r="N7" i="2"/>
  <c r="B7" i="2"/>
  <c r="A7" i="2"/>
  <c r="N6" i="2"/>
  <c r="B6" i="2"/>
  <c r="A6" i="2"/>
  <c r="N5" i="2"/>
  <c r="B5" i="2"/>
  <c r="A5" i="2"/>
  <c r="N4" i="2"/>
  <c r="B4" i="2"/>
  <c r="A4" i="2"/>
  <c r="N3" i="2"/>
  <c r="B3" i="2"/>
  <c r="A3" i="2"/>
  <c r="N2" i="2"/>
  <c r="E2" i="2"/>
  <c r="D2" i="2"/>
  <c r="C2" i="2"/>
  <c r="A2" i="2"/>
  <c r="F2" i="2" l="1"/>
  <c r="G2" i="2" s="1" a="1"/>
  <c r="G2" i="2" s="1"/>
  <c r="E3" i="2"/>
  <c r="D3" i="2"/>
  <c r="C3" i="2"/>
  <c r="E4" i="2"/>
  <c r="D4" i="2"/>
  <c r="C4" i="2"/>
  <c r="E5" i="2"/>
  <c r="D5" i="2"/>
  <c r="C5" i="2"/>
  <c r="E6" i="2"/>
  <c r="D6" i="2"/>
  <c r="C6" i="2"/>
  <c r="E7" i="2"/>
  <c r="D7" i="2"/>
  <c r="C7" i="2"/>
  <c r="E8" i="2"/>
  <c r="D8" i="2"/>
  <c r="C8" i="2"/>
  <c r="E9" i="2"/>
  <c r="D9" i="2"/>
  <c r="C9" i="2"/>
  <c r="E10" i="2"/>
  <c r="D10" i="2"/>
  <c r="C10" i="2"/>
  <c r="E11" i="2"/>
  <c r="D11" i="2"/>
  <c r="C11" i="2"/>
  <c r="E12" i="2"/>
  <c r="D12" i="2"/>
  <c r="C12" i="2"/>
  <c r="E13" i="2"/>
  <c r="D13" i="2"/>
  <c r="C13" i="2"/>
  <c r="E14" i="2"/>
  <c r="D14" i="2"/>
  <c r="C14" i="2"/>
  <c r="E15" i="2"/>
  <c r="D15" i="2"/>
  <c r="C15" i="2"/>
  <c r="E16" i="2"/>
  <c r="D16" i="2"/>
  <c r="C16" i="2"/>
  <c r="E17" i="2"/>
  <c r="D17" i="2"/>
  <c r="C17" i="2"/>
  <c r="E18" i="2"/>
  <c r="D18" i="2"/>
  <c r="C18" i="2"/>
  <c r="E19" i="2"/>
  <c r="D19" i="2"/>
  <c r="C19" i="2"/>
  <c r="E20" i="2"/>
  <c r="D20" i="2"/>
  <c r="C20" i="2"/>
  <c r="E21" i="2"/>
  <c r="D21" i="2"/>
  <c r="C21" i="2"/>
  <c r="E22" i="2"/>
  <c r="D22" i="2"/>
  <c r="C22" i="2"/>
  <c r="E23" i="2"/>
  <c r="D23" i="2"/>
  <c r="C23" i="2"/>
  <c r="E24" i="2"/>
  <c r="D24" i="2"/>
  <c r="C24" i="2"/>
  <c r="E25" i="2"/>
  <c r="D25" i="2"/>
  <c r="C25" i="2"/>
  <c r="E26" i="2"/>
  <c r="D26" i="2"/>
  <c r="C26" i="2"/>
  <c r="E27" i="2"/>
  <c r="D27" i="2"/>
  <c r="C27" i="2"/>
  <c r="E28" i="2"/>
  <c r="D28" i="2"/>
  <c r="C28" i="2"/>
  <c r="E29" i="2"/>
  <c r="D29" i="2"/>
  <c r="C29" i="2"/>
  <c r="E30" i="2"/>
  <c r="D30" i="2"/>
  <c r="C30" i="2"/>
  <c r="E31" i="2"/>
  <c r="D31" i="2"/>
  <c r="C31" i="2"/>
  <c r="E32" i="2"/>
  <c r="D32" i="2"/>
  <c r="C32" i="2"/>
  <c r="E33" i="2"/>
  <c r="D33" i="2"/>
  <c r="C33" i="2"/>
  <c r="E34" i="2"/>
  <c r="D34" i="2"/>
  <c r="C34" i="2"/>
  <c r="E35" i="2"/>
  <c r="D35" i="2"/>
  <c r="C35" i="2"/>
  <c r="E36" i="2"/>
  <c r="D36" i="2"/>
  <c r="C36" i="2"/>
  <c r="E37" i="2"/>
  <c r="D37" i="2"/>
  <c r="C37" i="2"/>
  <c r="E38" i="2"/>
  <c r="D38" i="2"/>
  <c r="C38" i="2"/>
  <c r="E39" i="2"/>
  <c r="D39" i="2"/>
  <c r="C39" i="2"/>
  <c r="E40" i="2"/>
  <c r="D40" i="2"/>
  <c r="C40" i="2"/>
  <c r="E41" i="2"/>
  <c r="D41" i="2"/>
  <c r="C41" i="2"/>
  <c r="E42" i="2"/>
  <c r="D42" i="2"/>
  <c r="C42" i="2"/>
  <c r="E43" i="2"/>
  <c r="D43" i="2"/>
  <c r="C43" i="2"/>
  <c r="E44" i="2"/>
  <c r="D44" i="2"/>
  <c r="C44" i="2"/>
  <c r="E45" i="2"/>
  <c r="D45" i="2"/>
  <c r="C45" i="2"/>
  <c r="E46" i="2"/>
  <c r="D46" i="2"/>
  <c r="C46" i="2"/>
  <c r="E47" i="2"/>
  <c r="D47" i="2"/>
  <c r="C47" i="2"/>
  <c r="E48" i="2"/>
  <c r="D48" i="2"/>
  <c r="C48" i="2"/>
  <c r="E49" i="2"/>
  <c r="D49" i="2"/>
  <c r="C49" i="2"/>
  <c r="E50" i="2"/>
  <c r="D50" i="2"/>
  <c r="C50" i="2"/>
  <c r="E51" i="2"/>
  <c r="D51" i="2"/>
  <c r="C51" i="2"/>
  <c r="E52" i="2"/>
  <c r="D52" i="2"/>
  <c r="C52" i="2"/>
  <c r="E53" i="2"/>
  <c r="D53" i="2"/>
  <c r="C53" i="2"/>
  <c r="E54" i="2"/>
  <c r="D54" i="2"/>
  <c r="C54" i="2"/>
  <c r="F52" i="2" l="1"/>
  <c r="G52" i="2" s="1" a="1"/>
  <c r="G52" i="2" s="1"/>
  <c r="F45" i="2"/>
  <c r="G45" i="2" s="1" a="1"/>
  <c r="G45" i="2" s="1"/>
  <c r="F53" i="2"/>
  <c r="G53" i="2" s="1" a="1"/>
  <c r="G53" i="2" s="1"/>
  <c r="F39" i="2"/>
  <c r="G39" i="2" s="1" a="1"/>
  <c r="G39" i="2" s="1"/>
  <c r="F25" i="2"/>
  <c r="G25" i="2" s="1" a="1"/>
  <c r="G25" i="2" s="1"/>
  <c r="F40" i="2"/>
  <c r="G40" i="2" s="1" a="1"/>
  <c r="G40" i="2" s="1"/>
  <c r="F33" i="2"/>
  <c r="G33" i="2" s="1" a="1"/>
  <c r="G33" i="2" s="1"/>
  <c r="F17" i="2"/>
  <c r="G17" i="2" s="1" a="1"/>
  <c r="G17" i="2" s="1"/>
  <c r="F12" i="2"/>
  <c r="G12" i="2" s="1" a="1"/>
  <c r="G12" i="2" s="1"/>
  <c r="F36" i="2"/>
  <c r="G36" i="2" s="1" a="1"/>
  <c r="G36" i="2" s="1"/>
  <c r="F22" i="2"/>
  <c r="G22" i="2" s="1" a="1"/>
  <c r="G22" i="2" s="1"/>
  <c r="F35" i="2"/>
  <c r="G35" i="2" s="1" a="1"/>
  <c r="G35" i="2" s="1"/>
  <c r="F29" i="2"/>
  <c r="G29" i="2" s="1" a="1"/>
  <c r="G29" i="2" s="1"/>
  <c r="F48" i="2"/>
  <c r="G48" i="2" s="1" a="1"/>
  <c r="G48" i="2" s="1"/>
  <c r="F34" i="2"/>
  <c r="G34" i="2" s="1" a="1"/>
  <c r="G34" i="2" s="1"/>
  <c r="F20" i="2"/>
  <c r="G20" i="2" s="1" a="1"/>
  <c r="G20" i="2" s="1"/>
  <c r="F54" i="2"/>
  <c r="G54" i="2" s="1" a="1"/>
  <c r="G54" i="2" s="1"/>
  <c r="F6" i="2"/>
  <c r="G6" i="2" s="1" a="1"/>
  <c r="G6" i="2" s="1"/>
  <c r="F42" i="2"/>
  <c r="G42" i="2" s="1" a="1"/>
  <c r="G42" i="2" s="1"/>
  <c r="F50" i="2"/>
  <c r="G50" i="2" s="1" a="1"/>
  <c r="G50" i="2" s="1"/>
  <c r="F51" i="2"/>
  <c r="G51" i="2" s="1" a="1"/>
  <c r="G51" i="2" s="1"/>
  <c r="F37" i="2"/>
  <c r="G37" i="2" s="1" a="1"/>
  <c r="G37" i="2" s="1"/>
  <c r="F23" i="2"/>
  <c r="G23" i="2" s="1" a="1"/>
  <c r="G23" i="2" s="1"/>
  <c r="F9" i="2"/>
  <c r="G9" i="2" s="1" a="1"/>
  <c r="G9" i="2" s="1"/>
  <c r="F28" i="2"/>
  <c r="G28" i="2" s="1" a="1"/>
  <c r="G28" i="2" s="1"/>
  <c r="F14" i="2"/>
  <c r="G14" i="2" s="1" a="1"/>
  <c r="G14" i="2" s="1"/>
  <c r="F8" i="2"/>
  <c r="G8" i="2" s="1" a="1"/>
  <c r="G8" i="2" s="1"/>
  <c r="F49" i="2"/>
  <c r="G49" i="2" s="1" a="1"/>
  <c r="G49" i="2" s="1"/>
  <c r="F46" i="2"/>
  <c r="G46" i="2" s="1" a="1"/>
  <c r="G46" i="2" s="1"/>
  <c r="F32" i="2"/>
  <c r="G32" i="2" s="1" a="1"/>
  <c r="G32" i="2" s="1"/>
  <c r="F18" i="2"/>
  <c r="G18" i="2" s="1" a="1"/>
  <c r="G18" i="2" s="1"/>
  <c r="F4" i="2"/>
  <c r="G4" i="2" s="1" a="1"/>
  <c r="G4" i="2" s="1"/>
  <c r="F15" i="2"/>
  <c r="G15" i="2" s="1" a="1"/>
  <c r="G15" i="2" s="1"/>
  <c r="F38" i="2"/>
  <c r="G38" i="2" s="1" a="1"/>
  <c r="G38" i="2" s="1"/>
  <c r="F41" i="2"/>
  <c r="G41" i="2" s="1" a="1"/>
  <c r="G41" i="2" s="1"/>
  <c r="F27" i="2"/>
  <c r="G27" i="2" s="1" a="1"/>
  <c r="G27" i="2" s="1"/>
  <c r="F13" i="2"/>
  <c r="G13" i="2" s="1" a="1"/>
  <c r="G13" i="2" s="1"/>
  <c r="F24" i="2"/>
  <c r="G24" i="2" s="1" a="1"/>
  <c r="G24" i="2" s="1"/>
  <c r="F47" i="2"/>
  <c r="G47" i="2" s="1" a="1"/>
  <c r="G47" i="2" s="1"/>
  <c r="F21" i="2"/>
  <c r="G21" i="2" s="1" a="1"/>
  <c r="G21" i="2" s="1"/>
  <c r="F26" i="2"/>
  <c r="G26" i="2" s="1" a="1"/>
  <c r="G26" i="2" s="1"/>
  <c r="F44" i="2"/>
  <c r="G44" i="2" s="1" a="1"/>
  <c r="G44" i="2" s="1"/>
  <c r="F30" i="2"/>
  <c r="G30" i="2" s="1" a="1"/>
  <c r="G30" i="2" s="1"/>
  <c r="F16" i="2"/>
  <c r="G16" i="2" s="1" a="1"/>
  <c r="G16" i="2" s="1"/>
  <c r="F11" i="2"/>
  <c r="G11" i="2" s="1" a="1"/>
  <c r="G11" i="2" s="1"/>
  <c r="F10" i="2"/>
  <c r="G10" i="2" s="1" a="1"/>
  <c r="G10" i="2" s="1"/>
  <c r="F5" i="2"/>
  <c r="G5" i="2" s="1" a="1"/>
  <c r="G5" i="2" s="1"/>
  <c r="F43" i="2"/>
  <c r="G43" i="2" s="1" a="1"/>
  <c r="G43" i="2" s="1"/>
  <c r="F31" i="2"/>
  <c r="G31" i="2" s="1" a="1"/>
  <c r="G31" i="2" s="1"/>
  <c r="F19" i="2"/>
  <c r="G19" i="2" s="1" a="1"/>
  <c r="G19" i="2" s="1"/>
  <c r="F7" i="2"/>
  <c r="G7" i="2" s="1" a="1"/>
  <c r="G7" i="2" s="1"/>
  <c r="F3" i="2"/>
  <c r="G3" i="2" s="1" a="1"/>
  <c r="G3" i="2" s="1"/>
  <c r="I8" i="2" l="1"/>
  <c r="I14" i="2" s="1"/>
  <c r="I10" i="2"/>
  <c r="I16" i="2" s="1"/>
  <c r="I11" i="2"/>
  <c r="I17" i="2" s="1"/>
  <c r="I12" i="2"/>
  <c r="I18" i="2" s="1"/>
  <c r="I9" i="2"/>
  <c r="I15" i="2" s="1"/>
  <c r="L23" i="2"/>
  <c r="K23" i="2"/>
  <c r="I20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<sst xmlns="http://schemas.openxmlformats.org/spreadsheetml/2006/main" count="68" uniqueCount="56">
  <si>
    <t>Mediatek Income Model — Inputs (editable assumptions)</t>
  </si>
  <si>
    <t>Base Salary</t>
  </si>
  <si>
    <t>Base_Annual_Salary_2026</t>
  </si>
  <si>
    <t>Appraisal_Raise_Pct_Jan2027</t>
  </si>
  <si>
    <t>Appraisal_Raise_Pct_Jan2028</t>
  </si>
  <si>
    <t>Appraisal_Raise_Pct_Jan2029</t>
  </si>
  <si>
    <t>Appraisal_Raise_Pct_Jan2030</t>
  </si>
  <si>
    <t>Short-Term Performance Bonus</t>
  </si>
  <si>
    <t>Appraisal_Bonus_Pct_Jan2027</t>
  </si>
  <si>
    <t>Appraisal_Bonus_Pct_Jan2028</t>
  </si>
  <si>
    <t>Appraisal_Bonus_Pct_Jan2029</t>
  </si>
  <si>
    <t>Appraisal_Bonus_Pct_Jan2030</t>
  </si>
  <si>
    <t>LPTA</t>
  </si>
  <si>
    <t>LPTA_Grant_Pct_2027</t>
  </si>
  <si>
    <t>LPTA_Grant_Pct_2028</t>
  </si>
  <si>
    <t>LPTA_Grant_Pct_2029</t>
  </si>
  <si>
    <t>LPTA_Grant_Pct_2030</t>
  </si>
  <si>
    <t>Net / Take-Home Settings</t>
  </si>
  <si>
    <t>USD_to_EGP</t>
  </si>
  <si>
    <t>Notes (assumptions hard-coded in the model)</t>
  </si>
  <si>
    <t>• Timeline is fixed: Aug 2026 → Dec 2030. Join date assumed: Aug 1, 2026.</t>
  </si>
  <si>
    <t>• Appraisal cycle happens in January: raises are decided in January and become effective starting February. Base salary is fixed during Feb(Y) → Jan(Y+1).</t>
  </si>
  <si>
    <t>• Short-term bonus is decided in January and is a % of the CURRENT year annual base salary (the salary effective from Feb of that year). The total annual bonus is split 50% in February and 50% in August of the same year. No proration is applied.</t>
  </si>
  <si>
    <t>• LPTA is a % of annual base salary of the year before. 2027 grant is prorated by 5/12; later grants are not prorated.</t>
  </si>
  <si>
    <t xml:space="preserve">  – Each grant pays in 4 installments of 25%: Feb (Y), Aug (Y), Feb (Y+1), Feb (Y+2).</t>
  </si>
  <si>
    <t xml:space="preserve">  – The sheet includes all installments that fall within Aug 2026 → Dec 2030.</t>
  </si>
  <si>
    <t>Level</t>
  </si>
  <si>
    <t>Month</t>
  </si>
  <si>
    <t>Short-Term Bonus</t>
  </si>
  <si>
    <t>LPTA Bonus</t>
  </si>
  <si>
    <t>LPTA Helper (hidden)</t>
  </si>
  <si>
    <t>GrantYear</t>
  </si>
  <si>
    <t>PayDate</t>
  </si>
  <si>
    <t>PayAmount</t>
  </si>
  <si>
    <t>Take-Home Estimate in 2026</t>
  </si>
  <si>
    <t>Take-Home Estimate in 2027</t>
  </si>
  <si>
    <t>Total Take-Home Estimate in All Years</t>
  </si>
  <si>
    <t>Total Take-Home Guaranteed in All Years</t>
  </si>
  <si>
    <t>Take-Home Estimate in 2028</t>
  </si>
  <si>
    <t>Take-Home Estimate in 2029</t>
  </si>
  <si>
    <t>Senior</t>
  </si>
  <si>
    <t>Staff</t>
  </si>
  <si>
    <t>Take-Home Estimate in 2030</t>
  </si>
  <si>
    <t>Total Net Monthly Income</t>
  </si>
  <si>
    <t>Total Gross Monthly Income</t>
  </si>
  <si>
    <t>Total Net in 2026</t>
  </si>
  <si>
    <t>Total Net in 2027</t>
  </si>
  <si>
    <t>Total Net in 2028</t>
  </si>
  <si>
    <t>Total Net in 2029</t>
  </si>
  <si>
    <t>Total Net in 2030</t>
  </si>
  <si>
    <t>Living_Expenses_EGP_Monthly_2030</t>
  </si>
  <si>
    <t>Living_Expenses_EGP_Monthly_2029</t>
  </si>
  <si>
    <t>Living_Expenses_EGP_Monthly_2028</t>
  </si>
  <si>
    <t>Living_Expenses_EGP_Monthly_2027</t>
  </si>
  <si>
    <t>Living_Expenses_EGP_Monthly_2026</t>
  </si>
  <si>
    <t>Tax_Pct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</si>
</sst>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_-"/>
    <numFmt numFmtId="165" formatCode="mmm\ yyyy"/>
    <numFmt numFmtId="166" formatCode="mmm\ d\,\ yyyy"/>
    <numFmt numFmtId="167" formatCode="&quot;$&quot;#,##0.00"/>
    <numFmt numFmtId="168" formatCode="\$#,##0.00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8EEF7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ck">
        <color rgb="FF00000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ck">
        <color indexed="64"/>
      </bottom>
      <diagonal/>
    </border>
  </borders>
  <cellStyleXfs count="2">
    <xf numFmtId="0" fontId="0" fillId="0" borderId="0"/>
    <xf numFmtId="9" fontId="5" fillId="0" borderId="0"/>
  </cellStyleXfs>
  <cellXfs count="32">
    <xf numFmtId="0" fontId="0" fillId="0" borderId="0" xfId="0"/>
    <xf numFmtId="0" fontId="3" fillId="0" borderId="1" xfId="0" applyFont="1" applyBorder="1"/>
    <xf numFmtId="164" fontId="0" fillId="0" borderId="1" xfId="0" applyNumberFormat="1" applyBorder="1"/>
    <xf numFmtId="10" fontId="0" fillId="0" borderId="1" xfId="0" applyNumberFormat="1" applyBorder="1"/>
    <xf numFmtId="0" fontId="4" fillId="4" borderId="1" xfId="0" applyFont="1" applyFill="1" applyBorder="1" applyAlignment="1">
      <alignment horizontal="center"/>
    </xf>
    <xf numFmtId="0" fontId="3" fillId="5" borderId="0" xfId="0" applyFont="1" applyFill="1"/>
    <xf numFmtId="165" fontId="0" fillId="0" borderId="1" xfId="0" applyNumberFormat="1" applyBorder="1"/>
    <xf numFmtId="164" fontId="0" fillId="0" borderId="1" xfId="0" applyNumberFormat="1" applyBorder="1" applyAlignment="1">
      <alignment horizontal="right"/>
    </xf>
    <xf numFmtId="166" fontId="0" fillId="0" borderId="0" xfId="0" applyNumberFormat="1"/>
    <xf numFmtId="164" fontId="0" fillId="0" borderId="0" xfId="0" applyNumberFormat="1"/>
    <xf numFmtId="165" fontId="0" fillId="0" borderId="2" xfId="0" applyNumberFormat="1" applyBorder="1"/>
    <xf numFmtId="164" fontId="0" fillId="0" borderId="2" xfId="0" applyNumberFormat="1" applyBorder="1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10" fontId="0" fillId="0" borderId="0" xfId="0" applyNumberFormat="1"/>
    <xf numFmtId="3" fontId="0" fillId="0" borderId="0" xfId="0" applyNumberFormat="1"/>
    <xf numFmtId="4" fontId="0" fillId="0" borderId="0" xfId="0" applyNumberFormat="1"/>
    <xf numFmtId="0" fontId="4" fillId="5" borderId="0" xfId="0" applyFont="1" applyFill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3" fillId="0" borderId="0" xfId="0" applyFont="1"/>
    <xf numFmtId="0" fontId="4" fillId="4" borderId="0" xfId="0" applyFont="1" applyFill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2" fontId="0" fillId="0" borderId="0" xfId="1" applyNumberFormat="1" applyFont="1"/>
    <xf numFmtId="0" fontId="0" fillId="0" borderId="0" xfId="0" applyAlignment="1">
      <alignment wrapText="1"/>
    </xf>
    <xf numFmtId="0" fontId="2" fillId="3" borderId="0" xfId="0" applyFont="1" applyFill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left"/>
    </xf>
    <xf numFmtId="167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elink_Interview_Process/ADI_Income_Estimation_Model_Aug26_Dec30.xlsx" TargetMode="External"/><Relationship Id="rId2" Type="http://schemas.openxmlformats.org/officeDocument/2006/relationships/externalLinkPath" Target="file:///C:\Personal_Stuff\Study_Plan_and_Interviews_Preparation\Telink_Interview_Process\ADI_Income_Estimation_Model_Aug26_Dec30.xlsx" TargetMode="External"/><Relationship Id="rId1" Type="http://schemas.openxmlformats.org/officeDocument/2006/relationships/externalLinkPath" Target="/Personal_Stuff/Study_Plan_and_Interviews_Preparation/Telink_Interview_Process/ADI_Income_Estimation_Model_Aug26_Dec3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puts"/>
      <sheetName val="Monthly Schedule"/>
    </sheetNames>
    <sheetDataSet>
      <sheetData sheetId="0">
        <row r="24">
          <cell r="B24">
            <v>37500</v>
          </cell>
        </row>
        <row r="25">
          <cell r="B25">
            <v>41250</v>
          </cell>
        </row>
        <row r="26">
          <cell r="B26">
            <v>44550</v>
          </cell>
        </row>
        <row r="27">
          <cell r="B27">
            <v>47668.5</v>
          </cell>
        </row>
        <row r="28">
          <cell r="B28">
            <v>50528.61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zoomScale="104" zoomScaleNormal="145" workbookViewId="0">
      <selection activeCell="B5" sqref="B5"/>
    </sheetView>
  </sheetViews>
  <sheetFormatPr defaultRowHeight="14.4" x14ac:dyDescent="0.3"/>
  <cols>
    <col min="1" max="1" width="36.44140625" bestFit="1" customWidth="1"/>
    <col min="2" max="2" width="37" customWidth="1"/>
    <col min="3" max="3" width="75" style="12" customWidth="1"/>
  </cols>
  <sheetData>
    <row r="1" spans="1:3" ht="18" customHeight="1" x14ac:dyDescent="0.35">
      <c r="A1" s="28" t="s">
        <v>0</v>
      </c>
      <c r="B1" s="29"/>
    </row>
    <row r="3" spans="1:3" ht="15.6" customHeight="1" x14ac:dyDescent="0.3">
      <c r="A3" s="30" t="s">
        <v>1</v>
      </c>
      <c r="B3" s="29"/>
      <c r="C3" s="29"/>
    </row>
    <row r="4" spans="1:3" x14ac:dyDescent="0.3">
      <c r="A4" s="1" t="s">
        <v>2</v>
      </c>
      <c r="B4" s="2">
        <v>33120</v>
      </c>
    </row>
    <row r="5" spans="1:3" x14ac:dyDescent="0.3">
      <c r="A5" s="1" t="s">
        <v>3</v>
      </c>
      <c r="B5" s="3">
        <v>0.04</v>
      </c>
    </row>
    <row r="6" spans="1:3" x14ac:dyDescent="0.3">
      <c r="A6" s="1" t="s">
        <v>4</v>
      </c>
      <c r="B6" s="3">
        <v>7.0000000000000007E-2</v>
      </c>
    </row>
    <row r="7" spans="1:3" x14ac:dyDescent="0.3">
      <c r="A7" s="1" t="s">
        <v>5</v>
      </c>
      <c r="B7" s="3">
        <v>0.06</v>
      </c>
    </row>
    <row r="8" spans="1:3" x14ac:dyDescent="0.3">
      <c r="A8" s="1" t="s">
        <v>6</v>
      </c>
      <c r="B8" s="3">
        <v>0.06</v>
      </c>
    </row>
    <row r="9" spans="1:3" ht="15.6" customHeight="1" x14ac:dyDescent="0.3">
      <c r="A9" s="30" t="s">
        <v>7</v>
      </c>
      <c r="B9" s="29"/>
      <c r="C9" s="29"/>
    </row>
    <row r="10" spans="1:3" x14ac:dyDescent="0.3">
      <c r="A10" s="1" t="s">
        <v>8</v>
      </c>
      <c r="B10" s="3">
        <v>7.4999999999999997E-2</v>
      </c>
    </row>
    <row r="11" spans="1:3" x14ac:dyDescent="0.3">
      <c r="A11" s="1" t="s">
        <v>9</v>
      </c>
      <c r="B11" s="3">
        <v>0.09</v>
      </c>
    </row>
    <row r="12" spans="1:3" x14ac:dyDescent="0.3">
      <c r="A12" s="1" t="s">
        <v>10</v>
      </c>
      <c r="B12" s="3">
        <v>0.08</v>
      </c>
    </row>
    <row r="13" spans="1:3" x14ac:dyDescent="0.3">
      <c r="A13" s="1" t="s">
        <v>11</v>
      </c>
      <c r="B13" s="3">
        <v>0.1</v>
      </c>
    </row>
    <row r="14" spans="1:3" ht="15.6" customHeight="1" x14ac:dyDescent="0.3">
      <c r="A14" s="30" t="s">
        <v>12</v>
      </c>
      <c r="B14" s="29"/>
      <c r="C14" s="29"/>
    </row>
    <row r="15" spans="1:3" x14ac:dyDescent="0.3">
      <c r="A15" s="1" t="s">
        <v>13</v>
      </c>
      <c r="B15" s="3">
        <v>0.13500000000000001</v>
      </c>
    </row>
    <row r="16" spans="1:3" x14ac:dyDescent="0.3">
      <c r="A16" s="1" t="s">
        <v>14</v>
      </c>
      <c r="B16" s="3">
        <v>0.13</v>
      </c>
    </row>
    <row r="17" spans="1:3" x14ac:dyDescent="0.3">
      <c r="A17" s="1" t="s">
        <v>15</v>
      </c>
      <c r="B17" s="3">
        <v>0.15</v>
      </c>
    </row>
    <row r="18" spans="1:3" x14ac:dyDescent="0.3">
      <c r="A18" s="1" t="s">
        <v>16</v>
      </c>
      <c r="B18" s="3">
        <v>0.14000000000000001</v>
      </c>
    </row>
    <row r="19" spans="1:3" x14ac:dyDescent="0.3">
      <c r="A19" s="1"/>
      <c r="B19" s="3"/>
    </row>
    <row r="20" spans="1:3" x14ac:dyDescent="0.3">
      <c r="A20" s="22" t="s">
        <v>17</v>
      </c>
    </row>
    <row r="21" spans="1:3" x14ac:dyDescent="0.3">
      <c r="A21" t="s">
        <v>55</v>
      </c>
      <c r="B21" s="17">
        <v>0.26500000000000001</v>
      </c>
    </row>
    <row r="22" spans="1:3" x14ac:dyDescent="0.3">
      <c r="A22" t="s">
        <v>54</v>
      </c>
      <c r="B22" s="18">
        <v>37500</v>
      </c>
    </row>
    <row r="23" spans="1:3" x14ac:dyDescent="0.3">
      <c r="A23" t="s">
        <v>53</v>
      </c>
      <c r="B23" s="25">
        <f>Living_Expenses_EGP_Monthly_2026*1.1</f>
        <v>41250</v>
      </c>
    </row>
    <row r="24" spans="1:3" ht="15.6" customHeight="1" x14ac:dyDescent="0.3">
      <c r="A24" t="s">
        <v>52</v>
      </c>
      <c r="B24">
        <f>Living_Expenses_EGP_Monthly_2027*1.08</f>
        <v>44550</v>
      </c>
    </row>
    <row r="25" spans="1:3" x14ac:dyDescent="0.3">
      <c r="A25" t="s">
        <v>51</v>
      </c>
      <c r="B25" s="18">
        <f>Living_Expenses_EGP_Monthly_2028*1.07</f>
        <v>47668.5</v>
      </c>
    </row>
    <row r="26" spans="1:3" x14ac:dyDescent="0.3">
      <c r="A26" t="s">
        <v>50</v>
      </c>
      <c r="B26" s="18">
        <f>Living_Expenses_EGP_Monthly_2029*1.06</f>
        <v>50528.61</v>
      </c>
    </row>
    <row r="27" spans="1:3" x14ac:dyDescent="0.3">
      <c r="A27" t="s">
        <v>18</v>
      </c>
      <c r="B27" s="19">
        <v>52.72</v>
      </c>
    </row>
    <row r="28" spans="1:3" ht="15.6" customHeight="1" x14ac:dyDescent="0.3">
      <c r="A28" s="27" t="s">
        <v>19</v>
      </c>
      <c r="B28" s="27"/>
      <c r="C28" s="27"/>
    </row>
    <row r="29" spans="1:3" ht="14.4" customHeight="1" x14ac:dyDescent="0.3">
      <c r="A29" s="26" t="s">
        <v>20</v>
      </c>
      <c r="B29" s="26"/>
      <c r="C29" s="26"/>
    </row>
    <row r="30" spans="1:3" ht="14.4" customHeight="1" x14ac:dyDescent="0.3">
      <c r="A30" s="26" t="s">
        <v>21</v>
      </c>
      <c r="B30" s="26"/>
      <c r="C30" s="26"/>
    </row>
    <row r="31" spans="1:3" ht="129.6" customHeight="1" x14ac:dyDescent="0.3">
      <c r="A31" s="13" t="s">
        <v>22</v>
      </c>
    </row>
    <row r="32" spans="1:3" ht="57.6" customHeight="1" x14ac:dyDescent="0.3">
      <c r="A32" s="13" t="s">
        <v>23</v>
      </c>
    </row>
    <row r="33" spans="1:1" ht="43.2" customHeight="1" x14ac:dyDescent="0.3">
      <c r="A33" s="13" t="s">
        <v>24</v>
      </c>
    </row>
    <row r="34" spans="1:1" ht="43.2" customHeight="1" x14ac:dyDescent="0.3">
      <c r="A34" s="13" t="s">
        <v>25</v>
      </c>
    </row>
  </sheetData>
  <mergeCells count="7">
    <mergeCell ref="A30:C30"/>
    <mergeCell ref="A29:C29"/>
    <mergeCell ref="A28:C28"/>
    <mergeCell ref="A1:B1"/>
    <mergeCell ref="A14:C14"/>
    <mergeCell ref="A9:C9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5"/>
  <sheetViews>
    <sheetView tabSelected="1" zoomScale="118" zoomScaleNormal="130" workbookViewId="0">
      <pane ySplit="1" topLeftCell="A2" activePane="bottomLeft" state="frozen"/>
      <selection pane="bottomLeft" activeCell="H24" sqref="H24"/>
    </sheetView>
  </sheetViews>
  <sheetFormatPr defaultRowHeight="14.4" x14ac:dyDescent="0.3"/>
  <cols>
    <col min="1" max="1" width="6.33203125" bestFit="1" customWidth="1"/>
    <col min="2" max="2" width="9.6640625" customWidth="1"/>
    <col min="3" max="3" width="10.5546875" bestFit="1" customWidth="1"/>
    <col min="4" max="4" width="16.33203125" bestFit="1" customWidth="1"/>
    <col min="5" max="5" width="10.88671875" bestFit="1" customWidth="1"/>
    <col min="6" max="6" width="25" bestFit="1" customWidth="1"/>
    <col min="7" max="7" width="23.44140625" style="12" bestFit="1" customWidth="1"/>
    <col min="8" max="8" width="35.88671875" bestFit="1" customWidth="1"/>
    <col min="9" max="9" width="26.109375" style="12" bestFit="1" customWidth="1"/>
    <col min="10" max="10" width="39" style="31" bestFit="1" customWidth="1"/>
    <col min="11" max="11" width="11" hidden="1" customWidth="1"/>
    <col min="12" max="12" width="0" hidden="1"/>
    <col min="13" max="13" width="10.33203125" hidden="1" customWidth="1"/>
    <col min="14" max="14" width="11" hidden="1" customWidth="1"/>
    <col min="15" max="15" width="36.44140625" style="12" bestFit="1" customWidth="1"/>
    <col min="16" max="16" width="37.88671875" style="12" bestFit="1" customWidth="1"/>
    <col min="17" max="17" width="33.33203125" style="12" bestFit="1" customWidth="1"/>
    <col min="18" max="18" width="36" style="12" bestFit="1" customWidth="1"/>
  </cols>
  <sheetData>
    <row r="1" spans="1:16" x14ac:dyDescent="0.3">
      <c r="A1" s="4" t="s">
        <v>26</v>
      </c>
      <c r="B1" s="4" t="s">
        <v>27</v>
      </c>
      <c r="C1" s="4" t="s">
        <v>1</v>
      </c>
      <c r="D1" s="4" t="s">
        <v>28</v>
      </c>
      <c r="E1" s="4" t="s">
        <v>29</v>
      </c>
      <c r="F1" s="4" t="s">
        <v>44</v>
      </c>
      <c r="G1" s="4" t="s">
        <v>43</v>
      </c>
      <c r="K1" s="5" t="s">
        <v>30</v>
      </c>
      <c r="L1" s="5" t="s">
        <v>31</v>
      </c>
      <c r="M1" s="5" t="s">
        <v>32</v>
      </c>
      <c r="N1" s="5" t="s">
        <v>33</v>
      </c>
    </row>
    <row r="2" spans="1:16" x14ac:dyDescent="0.3">
      <c r="A2" s="14" t="str">
        <f>IF($B2&lt;DATE(2030,1,1),"Senior","Staff")</f>
        <v>Senior</v>
      </c>
      <c r="B2" s="6">
        <v>46235</v>
      </c>
      <c r="C2" s="7">
        <f t="shared" ref="C2:C33" si="0">(IF($B2&lt;DATE(2027,2,1),Base_Annual_Salary_2026,IF($B2&lt;DATE(2028,2,1),(Base_Annual_Salary_2026*(1+Appraisal_Raise_Pct_Jan2027)),IF($B2&lt;DATE(2029,2,1),((Base_Annual_Salary_2026*(1+Appraisal_Raise_Pct_Jan2027))*(1+Appraisal_Raise_Pct_Jan2028)),IF($B2&lt;DATE(2030,2,1),(((Base_Annual_Salary_2026*(1+Appraisal_Raise_Pct_Jan2027))*(1+Appraisal_Raise_Pct_Jan2028))*(1+Appraisal_Raise_Pct_Jan2029)),((((Base_Annual_Salary_2026*(1+Appraisal_Raise_Pct_Jan2027))*(1+Appraisal_Raise_Pct_Jan2028))*(1+Appraisal_Raise_Pct_Jan2029))*(1+Appraisal_Raise_Pct_Jan2030)))))))/12</f>
        <v>2760</v>
      </c>
      <c r="D2" s="7">
        <f t="shared" ref="D2:D33" si="1">IF(OR(MONTH($B2)=2,MONTH($B2)=8),0.5*(IF(YEAR($B2)=2027,Appraisal_Bonus_Pct_Jan2027,IF(YEAR($B2)=2028,Appraisal_Bonus_Pct_Jan2028,IF(YEAR($B2)=2029,Appraisal_Bonus_Pct_Jan2029,IF(YEAR($B2)=2030,Appraisal_Bonus_Pct_Jan2030,0)))))*(IF(YEAR($B2)=2027,(Base_Annual_Salary_2026*(1+Appraisal_Raise_Pct_Jan2027)),IF(YEAR($B2)=2028,((Base_Annual_Salary_2026*(1+Appraisal_Raise_Pct_Jan2027))*(1+Appraisal_Raise_Pct_Jan2028)),IF(YEAR($B2)=2029,(((Base_Annual_Salary_2026*(1+Appraisal_Raise_Pct_Jan2027))*(1+Appraisal_Raise_Pct_Jan2028))*(1+Appraisal_Raise_Pct_Jan2029)),IF(YEAR($B2)=2030,((((Base_Annual_Salary_2026*(1+Appraisal_Raise_Pct_Jan2027))*(1+Appraisal_Raise_Pct_Jan2028))*(1+Appraisal_Raise_Pct_Jan2029))*(1+Appraisal_Raise_Pct_Jan2030)),0))))),0)</f>
        <v>0</v>
      </c>
      <c r="E2" s="7">
        <f t="shared" ref="E2:E33" si="2">SUMIFS($N$2:$N$14,$M$2:$M$14,"&gt;="&amp;$B2,$M$2:$M$14,"&lt;"&amp;EDATE($B2,1))</f>
        <v>0</v>
      </c>
      <c r="F2" s="7">
        <f t="shared" ref="F2:F33" si="3">SUM(C2:E2)</f>
        <v>2760</v>
      </c>
      <c r="G2" s="24" cm="1">
        <f t="array" ref="G2">(1-Tax_Pct)*F2</f>
        <v>2028.6</v>
      </c>
      <c r="L2">
        <v>2026</v>
      </c>
      <c r="M2" s="8">
        <v>46419</v>
      </c>
      <c r="N2" s="9">
        <f>(Base_Annual_Salary_2026)*LPTA_Grant_Pct_2026*(5/12)/4</f>
        <v>465.75000000000011</v>
      </c>
    </row>
    <row r="3" spans="1:16" x14ac:dyDescent="0.3">
      <c r="A3" s="14" t="str">
        <f t="shared" ref="A3:A42" si="4">"Senior"</f>
        <v>Senior</v>
      </c>
      <c r="B3" s="6">
        <f>EDATE($B$2,1)</f>
        <v>46266</v>
      </c>
      <c r="C3" s="7">
        <f t="shared" si="0"/>
        <v>2760</v>
      </c>
      <c r="D3" s="7">
        <f t="shared" si="1"/>
        <v>0</v>
      </c>
      <c r="E3" s="7">
        <f t="shared" si="2"/>
        <v>0</v>
      </c>
      <c r="F3" s="7">
        <f t="shared" si="3"/>
        <v>2760</v>
      </c>
      <c r="G3" s="24" cm="1">
        <f t="array" ref="G3">(1-Tax_Pct)*F3</f>
        <v>2028.6</v>
      </c>
      <c r="L3">
        <v>2026</v>
      </c>
      <c r="M3" s="8">
        <v>46600</v>
      </c>
      <c r="N3" s="9">
        <f>(Base_Annual_Salary_2026)*LPTA_Grant_Pct_2026*(5/12)/4</f>
        <v>465.75000000000011</v>
      </c>
    </row>
    <row r="4" spans="1:16" x14ac:dyDescent="0.3">
      <c r="A4" s="14" t="str">
        <f t="shared" si="4"/>
        <v>Senior</v>
      </c>
      <c r="B4" s="6">
        <f>EDATE($B$2,2)</f>
        <v>46296</v>
      </c>
      <c r="C4" s="7">
        <f t="shared" si="0"/>
        <v>2760</v>
      </c>
      <c r="D4" s="7">
        <f t="shared" si="1"/>
        <v>0</v>
      </c>
      <c r="E4" s="7">
        <f t="shared" si="2"/>
        <v>0</v>
      </c>
      <c r="F4" s="7">
        <f t="shared" si="3"/>
        <v>2760</v>
      </c>
      <c r="G4" s="24" cm="1">
        <f t="array" ref="G4">(1-Tax_Pct)*F4</f>
        <v>2028.6</v>
      </c>
      <c r="L4">
        <v>2026</v>
      </c>
      <c r="M4" s="8">
        <v>46784</v>
      </c>
      <c r="N4" s="9">
        <f>(Base_Annual_Salary_2026)*LPTA_Grant_Pct_2026*(5/12)/4</f>
        <v>465.75000000000011</v>
      </c>
    </row>
    <row r="5" spans="1:16" x14ac:dyDescent="0.3">
      <c r="A5" s="14" t="str">
        <f t="shared" si="4"/>
        <v>Senior</v>
      </c>
      <c r="B5" s="6">
        <f>EDATE($B$2,3)</f>
        <v>46327</v>
      </c>
      <c r="C5" s="7">
        <f t="shared" si="0"/>
        <v>2760</v>
      </c>
      <c r="D5" s="7">
        <f t="shared" si="1"/>
        <v>0</v>
      </c>
      <c r="E5" s="7">
        <f t="shared" si="2"/>
        <v>0</v>
      </c>
      <c r="F5" s="7">
        <f t="shared" si="3"/>
        <v>2760</v>
      </c>
      <c r="G5" s="24" cm="1">
        <f t="array" ref="G5">(1-Tax_Pct)*F5</f>
        <v>2028.6</v>
      </c>
      <c r="L5">
        <v>2026</v>
      </c>
      <c r="M5" s="8">
        <v>47150</v>
      </c>
      <c r="N5" s="9">
        <f>(Base_Annual_Salary_2026)*LPTA_Grant_Pct_2026*(5/12)/4</f>
        <v>465.75000000000011</v>
      </c>
    </row>
    <row r="6" spans="1:16" ht="15" customHeight="1" thickBot="1" x14ac:dyDescent="0.35">
      <c r="A6" s="15" t="str">
        <f t="shared" si="4"/>
        <v>Senior</v>
      </c>
      <c r="B6" s="10">
        <f>EDATE($B$2,4)</f>
        <v>46357</v>
      </c>
      <c r="C6" s="11">
        <f t="shared" si="0"/>
        <v>2760</v>
      </c>
      <c r="D6" s="11">
        <f t="shared" si="1"/>
        <v>0</v>
      </c>
      <c r="E6" s="11">
        <f t="shared" si="2"/>
        <v>0</v>
      </c>
      <c r="F6" s="11">
        <f t="shared" si="3"/>
        <v>2760</v>
      </c>
      <c r="G6" s="24" cm="1">
        <f t="array" ref="G6">(1-Tax_Pct)*F6</f>
        <v>2028.6</v>
      </c>
      <c r="L6">
        <v>2027</v>
      </c>
      <c r="M6" s="8">
        <v>46784</v>
      </c>
      <c r="N6">
        <f>(Base_Annual_Salary_2026*(1+Appraisal_Raise_Pct_Jan2027))*LPTA_Grant_Pct_2027*1/4</f>
        <v>1119.4560000000001</v>
      </c>
    </row>
    <row r="7" spans="1:16" ht="15" customHeight="1" thickTop="1" x14ac:dyDescent="0.3">
      <c r="A7" s="14" t="str">
        <f t="shared" si="4"/>
        <v>Senior</v>
      </c>
      <c r="B7" s="6">
        <f>EDATE($B$2,5)</f>
        <v>46388</v>
      </c>
      <c r="C7" s="7">
        <f t="shared" si="0"/>
        <v>2760</v>
      </c>
      <c r="D7" s="7">
        <f t="shared" si="1"/>
        <v>0</v>
      </c>
      <c r="E7" s="7">
        <f t="shared" si="2"/>
        <v>0</v>
      </c>
      <c r="F7" s="7">
        <f t="shared" si="3"/>
        <v>2760</v>
      </c>
      <c r="G7" s="24" cm="1">
        <f t="array" ref="G7">(1-Tax_Pct)*F7</f>
        <v>2028.6</v>
      </c>
      <c r="L7">
        <v>2027</v>
      </c>
      <c r="M7" s="8">
        <v>46966</v>
      </c>
      <c r="N7" s="9">
        <f>(Base_Annual_Salary_2026*(1+Appraisal_Raise_Pct_Jan2027))*LPTA_Grant_Pct_2027*1/4</f>
        <v>1119.4560000000001</v>
      </c>
    </row>
    <row r="8" spans="1:16" x14ac:dyDescent="0.3">
      <c r="A8" s="14" t="str">
        <f t="shared" si="4"/>
        <v>Senior</v>
      </c>
      <c r="B8" s="6">
        <f>EDATE($B$2,6)</f>
        <v>46419</v>
      </c>
      <c r="C8" s="7">
        <f t="shared" si="0"/>
        <v>2870.4</v>
      </c>
      <c r="D8" s="7">
        <f t="shared" si="1"/>
        <v>1291.68</v>
      </c>
      <c r="E8" s="7">
        <f t="shared" si="2"/>
        <v>465.75000000000011</v>
      </c>
      <c r="F8" s="7">
        <f t="shared" si="3"/>
        <v>4627.83</v>
      </c>
      <c r="G8" s="24" cm="1">
        <f t="array" ref="G8">(1-Tax_Pct)*F8</f>
        <v>3401.45505</v>
      </c>
      <c r="H8" s="23" t="s">
        <v>45</v>
      </c>
      <c r="I8" s="21">
        <f>SUM(G2:G6)</f>
        <v>10143</v>
      </c>
      <c r="L8">
        <v>2027</v>
      </c>
      <c r="M8" s="8">
        <v>47150</v>
      </c>
      <c r="N8" s="9">
        <f>(Base_Annual_Salary_2026*(1+Appraisal_Raise_Pct_Jan2027))*LPTA_Grant_Pct_2027*1/4</f>
        <v>1119.4560000000001</v>
      </c>
    </row>
    <row r="9" spans="1:16" x14ac:dyDescent="0.3">
      <c r="A9" s="14" t="str">
        <f t="shared" si="4"/>
        <v>Senior</v>
      </c>
      <c r="B9" s="6">
        <f>EDATE($B$2,7)</f>
        <v>46447</v>
      </c>
      <c r="C9" s="7">
        <f t="shared" si="0"/>
        <v>2870.4</v>
      </c>
      <c r="D9" s="7">
        <f t="shared" si="1"/>
        <v>0</v>
      </c>
      <c r="E9" s="7">
        <f t="shared" si="2"/>
        <v>0</v>
      </c>
      <c r="F9" s="7">
        <f t="shared" si="3"/>
        <v>2870.4</v>
      </c>
      <c r="G9" s="24" cm="1">
        <f t="array" ref="G9">(1-Tax_Pct)*F9</f>
        <v>2109.7440000000001</v>
      </c>
      <c r="H9" s="23" t="s">
        <v>46</v>
      </c>
      <c r="I9" s="21">
        <f>SUM(G7:G18)</f>
        <v>27819.206099999996</v>
      </c>
      <c r="L9">
        <v>2027</v>
      </c>
      <c r="M9" s="8">
        <v>47515</v>
      </c>
      <c r="N9" s="9">
        <f>(Base_Annual_Salary_2026*(1+Appraisal_Raise_Pct_Jan2027))*LPTA_Grant_Pct_2027*1/4</f>
        <v>1119.4560000000001</v>
      </c>
      <c r="P9" s="21"/>
    </row>
    <row r="10" spans="1:16" x14ac:dyDescent="0.3">
      <c r="A10" s="14" t="str">
        <f t="shared" si="4"/>
        <v>Senior</v>
      </c>
      <c r="B10" s="6">
        <f>EDATE($B$2,8)</f>
        <v>46478</v>
      </c>
      <c r="C10" s="7">
        <f t="shared" si="0"/>
        <v>2870.4</v>
      </c>
      <c r="D10" s="7">
        <f t="shared" si="1"/>
        <v>0</v>
      </c>
      <c r="E10" s="7">
        <f t="shared" si="2"/>
        <v>0</v>
      </c>
      <c r="F10" s="7">
        <f t="shared" si="3"/>
        <v>2870.4</v>
      </c>
      <c r="G10" s="24" cm="1">
        <f t="array" ref="G10">(1-Tax_Pct)*F10</f>
        <v>2109.7440000000001</v>
      </c>
      <c r="H10" s="23" t="s">
        <v>47</v>
      </c>
      <c r="I10" s="21">
        <f>SUM(G19:G30)</f>
        <v>31367.377616400012</v>
      </c>
      <c r="L10">
        <v>2028</v>
      </c>
      <c r="M10" s="8">
        <v>47150</v>
      </c>
      <c r="N10" s="9">
        <f>((Base_Annual_Salary_2026*(1+Appraisal_Raise_Pct_Jan2027))*(1+Appraisal_Raise_Pct_Jan2028))*LPTA_Grant_Pct_2028*1/4</f>
        <v>1382.0976000000003</v>
      </c>
      <c r="P10" s="21"/>
    </row>
    <row r="11" spans="1:16" x14ac:dyDescent="0.3">
      <c r="A11" s="14" t="str">
        <f t="shared" si="4"/>
        <v>Senior</v>
      </c>
      <c r="B11" s="6">
        <f>EDATE($B$2,9)</f>
        <v>46508</v>
      </c>
      <c r="C11" s="7">
        <f t="shared" si="0"/>
        <v>2870.4</v>
      </c>
      <c r="D11" s="7">
        <f t="shared" si="1"/>
        <v>0</v>
      </c>
      <c r="E11" s="7">
        <f t="shared" si="2"/>
        <v>0</v>
      </c>
      <c r="F11" s="7">
        <f t="shared" si="3"/>
        <v>2870.4</v>
      </c>
      <c r="G11" s="24" cm="1">
        <f t="array" ref="G11">(1-Tax_Pct)*F11</f>
        <v>2109.7440000000001</v>
      </c>
      <c r="H11" s="23" t="s">
        <v>48</v>
      </c>
      <c r="I11" s="21">
        <f>SUM(G31:G42)</f>
        <v>34072.980833808011</v>
      </c>
      <c r="L11">
        <v>2028</v>
      </c>
      <c r="M11" s="8">
        <v>47331</v>
      </c>
      <c r="N11" s="9">
        <f>((Base_Annual_Salary_2026*(1+Appraisal_Raise_Pct_Jan2027))*(1+Appraisal_Raise_Pct_Jan2028))*LPTA_Grant_Pct_2028*1/4</f>
        <v>1382.0976000000003</v>
      </c>
      <c r="P11" s="21"/>
    </row>
    <row r="12" spans="1:16" x14ac:dyDescent="0.3">
      <c r="A12" s="14" t="str">
        <f t="shared" si="4"/>
        <v>Senior</v>
      </c>
      <c r="B12" s="6">
        <f>EDATE($B$2,10)</f>
        <v>46539</v>
      </c>
      <c r="C12" s="7">
        <f t="shared" si="0"/>
        <v>2870.4</v>
      </c>
      <c r="D12" s="7">
        <f t="shared" si="1"/>
        <v>0</v>
      </c>
      <c r="E12" s="7">
        <f t="shared" si="2"/>
        <v>0</v>
      </c>
      <c r="F12" s="7">
        <f t="shared" si="3"/>
        <v>2870.4</v>
      </c>
      <c r="G12" s="24" cm="1">
        <f t="array" ref="G12">(1-Tax_Pct)*F12</f>
        <v>2109.7440000000001</v>
      </c>
      <c r="H12" s="23" t="s">
        <v>49</v>
      </c>
      <c r="I12" s="21">
        <f>SUM(G43:G54)</f>
        <v>37186.141832985617</v>
      </c>
      <c r="L12">
        <v>2028</v>
      </c>
      <c r="M12" s="8">
        <v>47515</v>
      </c>
      <c r="N12" s="9">
        <f>((Base_Annual_Salary_2026*(1+Appraisal_Raise_Pct_Jan2027))*(1+Appraisal_Raise_Pct_Jan2028))*LPTA_Grant_Pct_2028*1/4</f>
        <v>1382.0976000000003</v>
      </c>
      <c r="P12" s="21"/>
    </row>
    <row r="13" spans="1:16" x14ac:dyDescent="0.3">
      <c r="A13" s="14" t="str">
        <f t="shared" si="4"/>
        <v>Senior</v>
      </c>
      <c r="B13" s="6">
        <f>EDATE($B$2,11)</f>
        <v>46569</v>
      </c>
      <c r="C13" s="7">
        <f t="shared" si="0"/>
        <v>2870.4</v>
      </c>
      <c r="D13" s="7">
        <f t="shared" si="1"/>
        <v>0</v>
      </c>
      <c r="E13" s="7">
        <f t="shared" si="2"/>
        <v>0</v>
      </c>
      <c r="F13" s="7">
        <f t="shared" si="3"/>
        <v>2870.4</v>
      </c>
      <c r="G13" s="24" cm="1">
        <f t="array" ref="G13">(1-Tax_Pct)*F13</f>
        <v>2109.7440000000001</v>
      </c>
      <c r="H13" s="12"/>
      <c r="L13">
        <v>2029</v>
      </c>
      <c r="M13" s="8">
        <v>47515</v>
      </c>
      <c r="N13" s="9">
        <f>(((Base_Annual_Salary_2026*(1+Appraisal_Raise_Pct_Jan2027))*(1+Appraisal_Raise_Pct_Jan2028))*(1+Appraisal_Raise_Pct_Jan2029))*LPTA_Grant_Pct_2029*1/4</f>
        <v>1367.3552256000005</v>
      </c>
      <c r="P13" s="21"/>
    </row>
    <row r="14" spans="1:16" x14ac:dyDescent="0.3">
      <c r="A14" s="14" t="str">
        <f t="shared" si="4"/>
        <v>Senior</v>
      </c>
      <c r="B14" s="6">
        <f>EDATE($B$2,12)</f>
        <v>46600</v>
      </c>
      <c r="C14" s="7">
        <f t="shared" si="0"/>
        <v>2870.4</v>
      </c>
      <c r="D14" s="7">
        <f t="shared" si="1"/>
        <v>1291.68</v>
      </c>
      <c r="E14" s="7">
        <f t="shared" si="2"/>
        <v>465.75000000000011</v>
      </c>
      <c r="F14" s="7">
        <f t="shared" si="3"/>
        <v>4627.83</v>
      </c>
      <c r="G14" s="24" cm="1">
        <f t="array" ref="G14">(1-Tax_Pct)*F14</f>
        <v>3401.45505</v>
      </c>
      <c r="H14" s="23" t="s">
        <v>34</v>
      </c>
      <c r="I14" s="21">
        <f>I8-(Living_Expenses_EGP_Monthly_2026/USD_to_EGP)*5</f>
        <v>6586.4749620637331</v>
      </c>
      <c r="L14">
        <v>2029</v>
      </c>
      <c r="M14" s="8">
        <v>47696</v>
      </c>
      <c r="N14" s="9">
        <f>(((Base_Annual_Salary_2026*(1+Appraisal_Raise_Pct_Jan2027))*(1+Appraisal_Raise_Pct_Jan2028))*(1+Appraisal_Raise_Pct_Jan2029))*LPTA_Grant_Pct_2029*1/4</f>
        <v>1367.3552256000005</v>
      </c>
    </row>
    <row r="15" spans="1:16" x14ac:dyDescent="0.3">
      <c r="A15" s="14" t="str">
        <f t="shared" si="4"/>
        <v>Senior</v>
      </c>
      <c r="B15" s="6">
        <f>EDATE($B$2,13)</f>
        <v>46631</v>
      </c>
      <c r="C15" s="7">
        <f t="shared" si="0"/>
        <v>2870.4</v>
      </c>
      <c r="D15" s="7">
        <f t="shared" si="1"/>
        <v>0</v>
      </c>
      <c r="E15" s="7">
        <f t="shared" si="2"/>
        <v>0</v>
      </c>
      <c r="F15" s="7">
        <f t="shared" si="3"/>
        <v>2870.4</v>
      </c>
      <c r="G15" s="24" cm="1">
        <f t="array" ref="G15">(1-Tax_Pct)*F15</f>
        <v>2109.7440000000001</v>
      </c>
      <c r="H15" s="23" t="s">
        <v>35</v>
      </c>
      <c r="I15" s="21">
        <f>I9-(Living_Expenses_EGP_Monthly_2027/USD_to_EGP)*12</f>
        <v>18429.979999848249</v>
      </c>
    </row>
    <row r="16" spans="1:16" x14ac:dyDescent="0.3">
      <c r="A16" s="14" t="str">
        <f t="shared" si="4"/>
        <v>Senior</v>
      </c>
      <c r="B16" s="6">
        <f>EDATE($B$2,14)</f>
        <v>46661</v>
      </c>
      <c r="C16" s="7">
        <f t="shared" si="0"/>
        <v>2870.4</v>
      </c>
      <c r="D16" s="7">
        <f t="shared" si="1"/>
        <v>0</v>
      </c>
      <c r="E16" s="7">
        <f t="shared" si="2"/>
        <v>0</v>
      </c>
      <c r="F16" s="7">
        <f t="shared" si="3"/>
        <v>2870.4</v>
      </c>
      <c r="G16" s="24" cm="1">
        <f t="array" ref="G16">(1-Tax_Pct)*F16</f>
        <v>2109.7440000000001</v>
      </c>
      <c r="H16" s="23" t="s">
        <v>38</v>
      </c>
      <c r="I16" s="21">
        <f>I10-(Living_Expenses_EGP_Monthly_2028/USD_to_EGP)*12</f>
        <v>21227.013428236125</v>
      </c>
    </row>
    <row r="17" spans="1:12" x14ac:dyDescent="0.3">
      <c r="A17" s="14" t="str">
        <f t="shared" si="4"/>
        <v>Senior</v>
      </c>
      <c r="B17" s="6">
        <f>EDATE($B$2,15)</f>
        <v>46692</v>
      </c>
      <c r="C17" s="7">
        <f t="shared" si="0"/>
        <v>2870.4</v>
      </c>
      <c r="D17" s="7">
        <f t="shared" si="1"/>
        <v>0</v>
      </c>
      <c r="E17" s="7">
        <f t="shared" si="2"/>
        <v>0</v>
      </c>
      <c r="F17" s="7">
        <f t="shared" si="3"/>
        <v>2870.4</v>
      </c>
      <c r="G17" s="24" cm="1">
        <f t="array" ref="G17">(1-Tax_Pct)*F17</f>
        <v>2109.7440000000001</v>
      </c>
      <c r="H17" s="23" t="s">
        <v>39</v>
      </c>
      <c r="I17" s="21">
        <f>I11-(Living_Expenses_EGP_Monthly_2029/USD_to_EGP)*12</f>
        <v>23222.791152472655</v>
      </c>
    </row>
    <row r="18" spans="1:12" ht="15" customHeight="1" thickBot="1" x14ac:dyDescent="0.35">
      <c r="A18" s="15" t="str">
        <f t="shared" si="4"/>
        <v>Senior</v>
      </c>
      <c r="B18" s="10">
        <f>EDATE($B$2,16)</f>
        <v>46722</v>
      </c>
      <c r="C18" s="11">
        <f t="shared" si="0"/>
        <v>2870.4</v>
      </c>
      <c r="D18" s="11">
        <f t="shared" si="1"/>
        <v>0</v>
      </c>
      <c r="E18" s="11">
        <f t="shared" si="2"/>
        <v>0</v>
      </c>
      <c r="F18" s="11">
        <f t="shared" si="3"/>
        <v>2870.4</v>
      </c>
      <c r="G18" s="24" cm="1">
        <f t="array" ref="G18">(1-Tax_Pct)*F18</f>
        <v>2109.7440000000001</v>
      </c>
      <c r="H18" s="23" t="s">
        <v>42</v>
      </c>
      <c r="I18" s="21">
        <f>I12-(Living_Expenses_EGP_Monthly_2030/USD_to_EGP)*12</f>
        <v>25684.940770770139</v>
      </c>
    </row>
    <row r="19" spans="1:12" ht="15" customHeight="1" thickTop="1" x14ac:dyDescent="0.3">
      <c r="A19" s="14" t="str">
        <f t="shared" si="4"/>
        <v>Senior</v>
      </c>
      <c r="B19" s="6">
        <f>EDATE($B$2,17)</f>
        <v>46753</v>
      </c>
      <c r="C19" s="7">
        <f t="shared" si="0"/>
        <v>2870.4</v>
      </c>
      <c r="D19" s="7">
        <f t="shared" si="1"/>
        <v>0</v>
      </c>
      <c r="E19" s="7">
        <f t="shared" si="2"/>
        <v>0</v>
      </c>
      <c r="F19" s="7">
        <f t="shared" si="3"/>
        <v>2870.4</v>
      </c>
      <c r="G19" s="24" cm="1">
        <f t="array" ref="G19">(1-Tax_Pct)*F19</f>
        <v>2109.7440000000001</v>
      </c>
    </row>
    <row r="20" spans="1:12" x14ac:dyDescent="0.3">
      <c r="A20" s="14" t="str">
        <f t="shared" si="4"/>
        <v>Senior</v>
      </c>
      <c r="B20" s="6">
        <f>EDATE($B$2,18)</f>
        <v>46784</v>
      </c>
      <c r="C20" s="7">
        <f t="shared" si="0"/>
        <v>3071.3280000000009</v>
      </c>
      <c r="D20" s="7">
        <f t="shared" si="1"/>
        <v>1658.5171200000004</v>
      </c>
      <c r="E20" s="7">
        <f t="shared" si="2"/>
        <v>1585.2060000000001</v>
      </c>
      <c r="F20" s="7">
        <f t="shared" si="3"/>
        <v>6315.0511200000019</v>
      </c>
      <c r="G20" s="24" cm="1">
        <f t="array" ref="G20">(1-Tax_Pct)*F20</f>
        <v>4641.5625732000017</v>
      </c>
      <c r="H20" s="23" t="s">
        <v>36</v>
      </c>
      <c r="I20" s="21">
        <f>SUM(I14:I18)</f>
        <v>95151.200313390902</v>
      </c>
    </row>
    <row r="21" spans="1:12" x14ac:dyDescent="0.3">
      <c r="A21" s="14" t="str">
        <f t="shared" si="4"/>
        <v>Senior</v>
      </c>
      <c r="B21" s="6">
        <f>EDATE($B$2,19)</f>
        <v>46813</v>
      </c>
      <c r="C21" s="7">
        <f t="shared" si="0"/>
        <v>3071.3280000000009</v>
      </c>
      <c r="D21" s="7">
        <f t="shared" si="1"/>
        <v>0</v>
      </c>
      <c r="E21" s="7">
        <f t="shared" si="2"/>
        <v>0</v>
      </c>
      <c r="F21" s="7">
        <f t="shared" si="3"/>
        <v>3071.3280000000009</v>
      </c>
      <c r="G21" s="24" cm="1">
        <f t="array" ref="G21">(1-Tax_Pct)*F21</f>
        <v>2257.4260800000006</v>
      </c>
    </row>
    <row r="22" spans="1:12" x14ac:dyDescent="0.3">
      <c r="A22" s="14" t="str">
        <f t="shared" si="4"/>
        <v>Senior</v>
      </c>
      <c r="B22" s="6">
        <f>EDATE($B$2,20)</f>
        <v>46844</v>
      </c>
      <c r="C22" s="7">
        <f t="shared" si="0"/>
        <v>3071.3280000000009</v>
      </c>
      <c r="D22" s="7">
        <f t="shared" si="1"/>
        <v>0</v>
      </c>
      <c r="E22" s="7">
        <f t="shared" si="2"/>
        <v>0</v>
      </c>
      <c r="F22" s="7">
        <f t="shared" si="3"/>
        <v>3071.3280000000009</v>
      </c>
      <c r="G22" s="24" cm="1">
        <f t="array" ref="G22">(1-Tax_Pct)*F22</f>
        <v>2257.4260800000006</v>
      </c>
      <c r="K22" s="20" t="s">
        <v>36</v>
      </c>
      <c r="L22" s="20" t="s">
        <v>37</v>
      </c>
    </row>
    <row r="23" spans="1:12" x14ac:dyDescent="0.3">
      <c r="A23" s="14" t="str">
        <f t="shared" si="4"/>
        <v>Senior</v>
      </c>
      <c r="B23" s="6">
        <f>EDATE($B$2,21)</f>
        <v>46874</v>
      </c>
      <c r="C23" s="7">
        <f t="shared" si="0"/>
        <v>3071.3280000000009</v>
      </c>
      <c r="D23" s="7">
        <f t="shared" si="1"/>
        <v>0</v>
      </c>
      <c r="E23" s="7">
        <f t="shared" si="2"/>
        <v>0</v>
      </c>
      <c r="F23" s="7">
        <f t="shared" si="3"/>
        <v>3071.3280000000009</v>
      </c>
      <c r="G23" s="24" cm="1">
        <f t="array" ref="G23">(1-Tax_Pct)*F23</f>
        <v>2257.4260800000006</v>
      </c>
      <c r="K23" s="21" t="e">
        <f>O23*(1-Taxes_Pct)-(Living_Expenses_EGP_Monthly/USD_to_EGP)*COUNT($B$2:$B$54)</f>
        <v>#NAME?</v>
      </c>
      <c r="L23" s="21" t="e">
        <f>O23*(1-Taxes_Pct)-(Living_Expenses_EGP_Monthly/USD_to_EGP)*COUNT($B$2:$B$54)</f>
        <v>#NAME?</v>
      </c>
    </row>
    <row r="24" spans="1:12" x14ac:dyDescent="0.3">
      <c r="A24" s="14" t="str">
        <f t="shared" si="4"/>
        <v>Senior</v>
      </c>
      <c r="B24" s="6">
        <f>EDATE($B$2,22)</f>
        <v>46905</v>
      </c>
      <c r="C24" s="7">
        <f t="shared" si="0"/>
        <v>3071.3280000000009</v>
      </c>
      <c r="D24" s="7">
        <f t="shared" si="1"/>
        <v>0</v>
      </c>
      <c r="E24" s="7">
        <f t="shared" si="2"/>
        <v>0</v>
      </c>
      <c r="F24" s="7">
        <f t="shared" si="3"/>
        <v>3071.3280000000009</v>
      </c>
      <c r="G24" s="24" cm="1">
        <f t="array" ref="G24">(1-Tax_Pct)*F24</f>
        <v>2257.4260800000006</v>
      </c>
    </row>
    <row r="25" spans="1:12" x14ac:dyDescent="0.3">
      <c r="A25" s="14" t="str">
        <f t="shared" si="4"/>
        <v>Senior</v>
      </c>
      <c r="B25" s="6">
        <f>EDATE($B$2,23)</f>
        <v>46935</v>
      </c>
      <c r="C25" s="7">
        <f t="shared" si="0"/>
        <v>3071.3280000000009</v>
      </c>
      <c r="D25" s="7">
        <f t="shared" si="1"/>
        <v>0</v>
      </c>
      <c r="E25" s="7">
        <f t="shared" si="2"/>
        <v>0</v>
      </c>
      <c r="F25" s="7">
        <f t="shared" si="3"/>
        <v>3071.3280000000009</v>
      </c>
      <c r="G25" s="24" cm="1">
        <f t="array" ref="G25">(1-Tax_Pct)*F25</f>
        <v>2257.4260800000006</v>
      </c>
    </row>
    <row r="26" spans="1:12" x14ac:dyDescent="0.3">
      <c r="A26" s="14" t="str">
        <f t="shared" si="4"/>
        <v>Senior</v>
      </c>
      <c r="B26" s="6">
        <f>EDATE($B$2,24)</f>
        <v>46966</v>
      </c>
      <c r="C26" s="7">
        <f t="shared" si="0"/>
        <v>3071.3280000000009</v>
      </c>
      <c r="D26" s="7">
        <f t="shared" si="1"/>
        <v>1658.5171200000004</v>
      </c>
      <c r="E26" s="7">
        <f t="shared" si="2"/>
        <v>1119.4560000000001</v>
      </c>
      <c r="F26" s="7">
        <f t="shared" si="3"/>
        <v>5849.3011200000019</v>
      </c>
      <c r="G26" s="24" cm="1">
        <f t="array" ref="G26">(1-Tax_Pct)*F26</f>
        <v>4299.2363232000016</v>
      </c>
    </row>
    <row r="27" spans="1:12" x14ac:dyDescent="0.3">
      <c r="A27" s="14" t="str">
        <f t="shared" si="4"/>
        <v>Senior</v>
      </c>
      <c r="B27" s="6">
        <f>EDATE($B$2,25)</f>
        <v>46997</v>
      </c>
      <c r="C27" s="7">
        <f t="shared" si="0"/>
        <v>3071.3280000000009</v>
      </c>
      <c r="D27" s="7">
        <f t="shared" si="1"/>
        <v>0</v>
      </c>
      <c r="E27" s="7">
        <f t="shared" si="2"/>
        <v>0</v>
      </c>
      <c r="F27" s="7">
        <f t="shared" si="3"/>
        <v>3071.3280000000009</v>
      </c>
      <c r="G27" s="24" cm="1">
        <f t="array" ref="G27">(1-Tax_Pct)*F27</f>
        <v>2257.4260800000006</v>
      </c>
    </row>
    <row r="28" spans="1:12" x14ac:dyDescent="0.3">
      <c r="A28" s="14" t="str">
        <f t="shared" si="4"/>
        <v>Senior</v>
      </c>
      <c r="B28" s="6">
        <f>EDATE($B$2,26)</f>
        <v>47027</v>
      </c>
      <c r="C28" s="7">
        <f t="shared" si="0"/>
        <v>3071.3280000000009</v>
      </c>
      <c r="D28" s="7">
        <f t="shared" si="1"/>
        <v>0</v>
      </c>
      <c r="E28" s="7">
        <f t="shared" si="2"/>
        <v>0</v>
      </c>
      <c r="F28" s="7">
        <f t="shared" si="3"/>
        <v>3071.3280000000009</v>
      </c>
      <c r="G28" s="24" cm="1">
        <f t="array" ref="G28">(1-Tax_Pct)*F28</f>
        <v>2257.4260800000006</v>
      </c>
    </row>
    <row r="29" spans="1:12" x14ac:dyDescent="0.3">
      <c r="A29" s="14" t="str">
        <f t="shared" si="4"/>
        <v>Senior</v>
      </c>
      <c r="B29" s="6">
        <f>EDATE($B$2,27)</f>
        <v>47058</v>
      </c>
      <c r="C29" s="7">
        <f t="shared" si="0"/>
        <v>3071.3280000000009</v>
      </c>
      <c r="D29" s="7">
        <f t="shared" si="1"/>
        <v>0</v>
      </c>
      <c r="E29" s="7">
        <f t="shared" si="2"/>
        <v>0</v>
      </c>
      <c r="F29" s="7">
        <f t="shared" si="3"/>
        <v>3071.3280000000009</v>
      </c>
      <c r="G29" s="24" cm="1">
        <f t="array" ref="G29">(1-Tax_Pct)*F29</f>
        <v>2257.4260800000006</v>
      </c>
    </row>
    <row r="30" spans="1:12" ht="15" customHeight="1" thickBot="1" x14ac:dyDescent="0.35">
      <c r="A30" s="15" t="str">
        <f t="shared" si="4"/>
        <v>Senior</v>
      </c>
      <c r="B30" s="10">
        <f>EDATE($B$2,28)</f>
        <v>47088</v>
      </c>
      <c r="C30" s="11">
        <f t="shared" si="0"/>
        <v>3071.3280000000009</v>
      </c>
      <c r="D30" s="11">
        <f t="shared" si="1"/>
        <v>0</v>
      </c>
      <c r="E30" s="11">
        <f t="shared" si="2"/>
        <v>0</v>
      </c>
      <c r="F30" s="11">
        <f t="shared" si="3"/>
        <v>3071.3280000000009</v>
      </c>
      <c r="G30" s="24" cm="1">
        <f t="array" ref="G30">(1-Tax_Pct)*F30</f>
        <v>2257.4260800000006</v>
      </c>
    </row>
    <row r="31" spans="1:12" ht="15" customHeight="1" thickTop="1" x14ac:dyDescent="0.3">
      <c r="A31" s="14" t="str">
        <f t="shared" si="4"/>
        <v>Senior</v>
      </c>
      <c r="B31" s="6">
        <f>EDATE($B$2,29)</f>
        <v>47119</v>
      </c>
      <c r="C31" s="7">
        <f t="shared" si="0"/>
        <v>3071.3280000000009</v>
      </c>
      <c r="D31" s="7">
        <f t="shared" si="1"/>
        <v>0</v>
      </c>
      <c r="E31" s="7">
        <f t="shared" si="2"/>
        <v>0</v>
      </c>
      <c r="F31" s="7">
        <f t="shared" si="3"/>
        <v>3071.3280000000009</v>
      </c>
      <c r="G31" s="24" cm="1">
        <f t="array" ref="G31">(1-Tax_Pct)*F31</f>
        <v>2257.4260800000006</v>
      </c>
    </row>
    <row r="32" spans="1:12" x14ac:dyDescent="0.3">
      <c r="A32" s="14" t="str">
        <f t="shared" si="4"/>
        <v>Senior</v>
      </c>
      <c r="B32" s="6">
        <f>EDATE($B$2,30)</f>
        <v>47150</v>
      </c>
      <c r="C32" s="7">
        <f t="shared" si="0"/>
        <v>3255.607680000001</v>
      </c>
      <c r="D32" s="7">
        <f t="shared" si="1"/>
        <v>1562.6916864000004</v>
      </c>
      <c r="E32" s="7">
        <f t="shared" si="2"/>
        <v>2967.3036000000002</v>
      </c>
      <c r="F32" s="7">
        <f t="shared" si="3"/>
        <v>7785.6029664000016</v>
      </c>
      <c r="G32" s="24" cm="1">
        <f t="array" ref="G32">(1-Tax_Pct)*F32</f>
        <v>5722.418180304001</v>
      </c>
    </row>
    <row r="33" spans="1:7" x14ac:dyDescent="0.3">
      <c r="A33" s="14" t="str">
        <f t="shared" si="4"/>
        <v>Senior</v>
      </c>
      <c r="B33" s="6">
        <f>EDATE($B$2,31)</f>
        <v>47178</v>
      </c>
      <c r="C33" s="7">
        <f t="shared" si="0"/>
        <v>3255.607680000001</v>
      </c>
      <c r="D33" s="7">
        <f t="shared" si="1"/>
        <v>0</v>
      </c>
      <c r="E33" s="7">
        <f t="shared" si="2"/>
        <v>0</v>
      </c>
      <c r="F33" s="7">
        <f t="shared" si="3"/>
        <v>3255.607680000001</v>
      </c>
      <c r="G33" s="24" cm="1">
        <f t="array" ref="G33">(1-Tax_Pct)*F33</f>
        <v>2392.8716448000005</v>
      </c>
    </row>
    <row r="34" spans="1:7" x14ac:dyDescent="0.3">
      <c r="A34" s="14" t="str">
        <f t="shared" si="4"/>
        <v>Senior</v>
      </c>
      <c r="B34" s="6">
        <f>EDATE($B$2,32)</f>
        <v>47209</v>
      </c>
      <c r="C34" s="7">
        <f t="shared" ref="C34:C54" si="5">(IF($B34&lt;DATE(2027,2,1),Base_Annual_Salary_2026,IF($B34&lt;DATE(2028,2,1),(Base_Annual_Salary_2026*(1+Appraisal_Raise_Pct_Jan2027)),IF($B34&lt;DATE(2029,2,1),((Base_Annual_Salary_2026*(1+Appraisal_Raise_Pct_Jan2027))*(1+Appraisal_Raise_Pct_Jan2028)),IF($B34&lt;DATE(2030,2,1),(((Base_Annual_Salary_2026*(1+Appraisal_Raise_Pct_Jan2027))*(1+Appraisal_Raise_Pct_Jan2028))*(1+Appraisal_Raise_Pct_Jan2029)),((((Base_Annual_Salary_2026*(1+Appraisal_Raise_Pct_Jan2027))*(1+Appraisal_Raise_Pct_Jan2028))*(1+Appraisal_Raise_Pct_Jan2029))*(1+Appraisal_Raise_Pct_Jan2030)))))))/12</f>
        <v>3255.607680000001</v>
      </c>
      <c r="D34" s="7">
        <f t="shared" ref="D34:D54" si="6">IF(OR(MONTH($B34)=2,MONTH($B34)=8),0.5*(IF(YEAR($B34)=2027,Appraisal_Bonus_Pct_Jan2027,IF(YEAR($B34)=2028,Appraisal_Bonus_Pct_Jan2028,IF(YEAR($B34)=2029,Appraisal_Bonus_Pct_Jan2029,IF(YEAR($B34)=2030,Appraisal_Bonus_Pct_Jan2030,0)))))*(IF(YEAR($B34)=2027,(Base_Annual_Salary_2026*(1+Appraisal_Raise_Pct_Jan2027)),IF(YEAR($B34)=2028,((Base_Annual_Salary_2026*(1+Appraisal_Raise_Pct_Jan2027))*(1+Appraisal_Raise_Pct_Jan2028)),IF(YEAR($B34)=2029,(((Base_Annual_Salary_2026*(1+Appraisal_Raise_Pct_Jan2027))*(1+Appraisal_Raise_Pct_Jan2028))*(1+Appraisal_Raise_Pct_Jan2029)),IF(YEAR($B34)=2030,((((Base_Annual_Salary_2026*(1+Appraisal_Raise_Pct_Jan2027))*(1+Appraisal_Raise_Pct_Jan2028))*(1+Appraisal_Raise_Pct_Jan2029))*(1+Appraisal_Raise_Pct_Jan2030)),0))))),0)</f>
        <v>0</v>
      </c>
      <c r="E34" s="7">
        <f t="shared" ref="E34:E54" si="7">SUMIFS($N$2:$N$14,$M$2:$M$14,"&gt;="&amp;$B34,$M$2:$M$14,"&lt;"&amp;EDATE($B34,1))</f>
        <v>0</v>
      </c>
      <c r="F34" s="7">
        <f t="shared" ref="F34:F54" si="8">SUM(C34:E34)</f>
        <v>3255.607680000001</v>
      </c>
      <c r="G34" s="24" cm="1">
        <f t="array" ref="G34">(1-Tax_Pct)*F34</f>
        <v>2392.8716448000005</v>
      </c>
    </row>
    <row r="35" spans="1:7" x14ac:dyDescent="0.3">
      <c r="A35" s="14" t="str">
        <f t="shared" si="4"/>
        <v>Senior</v>
      </c>
      <c r="B35" s="6">
        <f>EDATE($B$2,33)</f>
        <v>47239</v>
      </c>
      <c r="C35" s="7">
        <f t="shared" si="5"/>
        <v>3255.607680000001</v>
      </c>
      <c r="D35" s="7">
        <f t="shared" si="6"/>
        <v>0</v>
      </c>
      <c r="E35" s="7">
        <f t="shared" si="7"/>
        <v>0</v>
      </c>
      <c r="F35" s="7">
        <f t="shared" si="8"/>
        <v>3255.607680000001</v>
      </c>
      <c r="G35" s="24" cm="1">
        <f t="array" ref="G35">(1-Tax_Pct)*F35</f>
        <v>2392.8716448000005</v>
      </c>
    </row>
    <row r="36" spans="1:7" x14ac:dyDescent="0.3">
      <c r="A36" s="14" t="str">
        <f t="shared" si="4"/>
        <v>Senior</v>
      </c>
      <c r="B36" s="6">
        <f>EDATE($B$2,34)</f>
        <v>47270</v>
      </c>
      <c r="C36" s="7">
        <f t="shared" si="5"/>
        <v>3255.607680000001</v>
      </c>
      <c r="D36" s="7">
        <f t="shared" si="6"/>
        <v>0</v>
      </c>
      <c r="E36" s="7">
        <f t="shared" si="7"/>
        <v>0</v>
      </c>
      <c r="F36" s="7">
        <f t="shared" si="8"/>
        <v>3255.607680000001</v>
      </c>
      <c r="G36" s="24" cm="1">
        <f t="array" ref="G36">(1-Tax_Pct)*F36</f>
        <v>2392.8716448000005</v>
      </c>
    </row>
    <row r="37" spans="1:7" x14ac:dyDescent="0.3">
      <c r="A37" s="14" t="str">
        <f t="shared" si="4"/>
        <v>Senior</v>
      </c>
      <c r="B37" s="6">
        <f>EDATE($B$2,35)</f>
        <v>47300</v>
      </c>
      <c r="C37" s="7">
        <f t="shared" si="5"/>
        <v>3255.607680000001</v>
      </c>
      <c r="D37" s="7">
        <f t="shared" si="6"/>
        <v>0</v>
      </c>
      <c r="E37" s="7">
        <f t="shared" si="7"/>
        <v>0</v>
      </c>
      <c r="F37" s="7">
        <f t="shared" si="8"/>
        <v>3255.607680000001</v>
      </c>
      <c r="G37" s="24" cm="1">
        <f t="array" ref="G37">(1-Tax_Pct)*F37</f>
        <v>2392.8716448000005</v>
      </c>
    </row>
    <row r="38" spans="1:7" x14ac:dyDescent="0.3">
      <c r="A38" s="14" t="str">
        <f t="shared" si="4"/>
        <v>Senior</v>
      </c>
      <c r="B38" s="6">
        <f>EDATE($B$2,36)</f>
        <v>47331</v>
      </c>
      <c r="C38" s="7">
        <f t="shared" si="5"/>
        <v>3255.607680000001</v>
      </c>
      <c r="D38" s="7">
        <f t="shared" si="6"/>
        <v>1562.6916864000004</v>
      </c>
      <c r="E38" s="7">
        <f t="shared" si="7"/>
        <v>1382.0976000000003</v>
      </c>
      <c r="F38" s="7">
        <f t="shared" si="8"/>
        <v>6200.3969664000015</v>
      </c>
      <c r="G38" s="24" cm="1">
        <f t="array" ref="G38">(1-Tax_Pct)*F38</f>
        <v>4557.2917703040011</v>
      </c>
    </row>
    <row r="39" spans="1:7" x14ac:dyDescent="0.3">
      <c r="A39" s="14" t="str">
        <f t="shared" si="4"/>
        <v>Senior</v>
      </c>
      <c r="B39" s="6">
        <f>EDATE($B$2,37)</f>
        <v>47362</v>
      </c>
      <c r="C39" s="7">
        <f t="shared" si="5"/>
        <v>3255.607680000001</v>
      </c>
      <c r="D39" s="7">
        <f t="shared" si="6"/>
        <v>0</v>
      </c>
      <c r="E39" s="7">
        <f t="shared" si="7"/>
        <v>0</v>
      </c>
      <c r="F39" s="7">
        <f t="shared" si="8"/>
        <v>3255.607680000001</v>
      </c>
      <c r="G39" s="24" cm="1">
        <f t="array" ref="G39">(1-Tax_Pct)*F39</f>
        <v>2392.8716448000005</v>
      </c>
    </row>
    <row r="40" spans="1:7" x14ac:dyDescent="0.3">
      <c r="A40" s="14" t="str">
        <f t="shared" si="4"/>
        <v>Senior</v>
      </c>
      <c r="B40" s="6">
        <f>EDATE($B$2,38)</f>
        <v>47392</v>
      </c>
      <c r="C40" s="7">
        <f t="shared" si="5"/>
        <v>3255.607680000001</v>
      </c>
      <c r="D40" s="7">
        <f t="shared" si="6"/>
        <v>0</v>
      </c>
      <c r="E40" s="7">
        <f t="shared" si="7"/>
        <v>0</v>
      </c>
      <c r="F40" s="7">
        <f t="shared" si="8"/>
        <v>3255.607680000001</v>
      </c>
      <c r="G40" s="24" cm="1">
        <f t="array" ref="G40">(1-Tax_Pct)*F40</f>
        <v>2392.8716448000005</v>
      </c>
    </row>
    <row r="41" spans="1:7" x14ac:dyDescent="0.3">
      <c r="A41" s="14" t="str">
        <f t="shared" si="4"/>
        <v>Senior</v>
      </c>
      <c r="B41" s="6">
        <f>EDATE($B$2,39)</f>
        <v>47423</v>
      </c>
      <c r="C41" s="7">
        <f t="shared" si="5"/>
        <v>3255.607680000001</v>
      </c>
      <c r="D41" s="7">
        <f t="shared" si="6"/>
        <v>0</v>
      </c>
      <c r="E41" s="7">
        <f t="shared" si="7"/>
        <v>0</v>
      </c>
      <c r="F41" s="7">
        <f t="shared" si="8"/>
        <v>3255.607680000001</v>
      </c>
      <c r="G41" s="24" cm="1">
        <f t="array" ref="G41">(1-Tax_Pct)*F41</f>
        <v>2392.8716448000005</v>
      </c>
    </row>
    <row r="42" spans="1:7" ht="15" customHeight="1" thickBot="1" x14ac:dyDescent="0.35">
      <c r="A42" s="15" t="str">
        <f t="shared" si="4"/>
        <v>Senior</v>
      </c>
      <c r="B42" s="10">
        <f>EDATE($B$2,40)</f>
        <v>47453</v>
      </c>
      <c r="C42" s="11">
        <f t="shared" si="5"/>
        <v>3255.607680000001</v>
      </c>
      <c r="D42" s="11">
        <f t="shared" si="6"/>
        <v>0</v>
      </c>
      <c r="E42" s="11">
        <f t="shared" si="7"/>
        <v>0</v>
      </c>
      <c r="F42" s="11">
        <f t="shared" si="8"/>
        <v>3255.607680000001</v>
      </c>
      <c r="G42" s="24" cm="1">
        <f t="array" ref="G42">(1-Tax_Pct)*F42</f>
        <v>2392.8716448000005</v>
      </c>
    </row>
    <row r="43" spans="1:7" ht="15" customHeight="1" thickTop="1" x14ac:dyDescent="0.3">
      <c r="A43" s="14" t="s">
        <v>40</v>
      </c>
      <c r="B43" s="6">
        <f>EDATE($B$2,41)</f>
        <v>47484</v>
      </c>
      <c r="C43" s="7">
        <f t="shared" si="5"/>
        <v>3255.607680000001</v>
      </c>
      <c r="D43" s="7">
        <f t="shared" si="6"/>
        <v>0</v>
      </c>
      <c r="E43" s="7">
        <f t="shared" si="7"/>
        <v>0</v>
      </c>
      <c r="F43" s="7">
        <f t="shared" si="8"/>
        <v>3255.607680000001</v>
      </c>
      <c r="G43" s="24" cm="1">
        <f t="array" ref="G43">(1-Tax_Pct)*F43</f>
        <v>2392.8716448000005</v>
      </c>
    </row>
    <row r="44" spans="1:7" x14ac:dyDescent="0.3">
      <c r="A44" s="14" t="s">
        <v>41</v>
      </c>
      <c r="B44" s="6">
        <f>EDATE($B$2,42)</f>
        <v>47515</v>
      </c>
      <c r="C44" s="7">
        <f t="shared" si="5"/>
        <v>3450.9441408000016</v>
      </c>
      <c r="D44" s="7">
        <f t="shared" si="6"/>
        <v>2070.5664844800008</v>
      </c>
      <c r="E44" s="7">
        <f t="shared" si="7"/>
        <v>3868.9088256000005</v>
      </c>
      <c r="F44" s="7">
        <f t="shared" si="8"/>
        <v>9390.4194508800028</v>
      </c>
      <c r="G44" s="24" cm="1">
        <f t="array" ref="G44">(1-Tax_Pct)*F44</f>
        <v>6901.9582963968023</v>
      </c>
    </row>
    <row r="45" spans="1:7" x14ac:dyDescent="0.3">
      <c r="A45" s="14" t="s">
        <v>41</v>
      </c>
      <c r="B45" s="6">
        <f>EDATE($B$2,43)</f>
        <v>47543</v>
      </c>
      <c r="C45" s="7">
        <f t="shared" si="5"/>
        <v>3450.9441408000016</v>
      </c>
      <c r="D45" s="7">
        <f t="shared" si="6"/>
        <v>0</v>
      </c>
      <c r="E45" s="7">
        <f t="shared" si="7"/>
        <v>0</v>
      </c>
      <c r="F45" s="7">
        <f t="shared" si="8"/>
        <v>3450.9441408000016</v>
      </c>
      <c r="G45" s="24" cm="1">
        <f t="array" ref="G45">(1-Tax_Pct)*F45</f>
        <v>2536.443943488001</v>
      </c>
    </row>
    <row r="46" spans="1:7" x14ac:dyDescent="0.3">
      <c r="A46" s="14" t="s">
        <v>41</v>
      </c>
      <c r="B46" s="6">
        <f>EDATE($B$2,44)</f>
        <v>47574</v>
      </c>
      <c r="C46" s="7">
        <f t="shared" si="5"/>
        <v>3450.9441408000016</v>
      </c>
      <c r="D46" s="7">
        <f t="shared" si="6"/>
        <v>0</v>
      </c>
      <c r="E46" s="7">
        <f t="shared" si="7"/>
        <v>0</v>
      </c>
      <c r="F46" s="7">
        <f t="shared" si="8"/>
        <v>3450.9441408000016</v>
      </c>
      <c r="G46" s="24" cm="1">
        <f t="array" ref="G46">(1-Tax_Pct)*F46</f>
        <v>2536.443943488001</v>
      </c>
    </row>
    <row r="47" spans="1:7" x14ac:dyDescent="0.3">
      <c r="A47" s="14" t="s">
        <v>41</v>
      </c>
      <c r="B47" s="6">
        <f>EDATE($B$2,45)</f>
        <v>47604</v>
      </c>
      <c r="C47" s="7">
        <f t="shared" si="5"/>
        <v>3450.9441408000016</v>
      </c>
      <c r="D47" s="7">
        <f t="shared" si="6"/>
        <v>0</v>
      </c>
      <c r="E47" s="7">
        <f t="shared" si="7"/>
        <v>0</v>
      </c>
      <c r="F47" s="7">
        <f t="shared" si="8"/>
        <v>3450.9441408000016</v>
      </c>
      <c r="G47" s="24" cm="1">
        <f t="array" ref="G47">(1-Tax_Pct)*F47</f>
        <v>2536.443943488001</v>
      </c>
    </row>
    <row r="48" spans="1:7" x14ac:dyDescent="0.3">
      <c r="A48" s="14" t="s">
        <v>41</v>
      </c>
      <c r="B48" s="6">
        <f>EDATE($B$2,46)</f>
        <v>47635</v>
      </c>
      <c r="C48" s="7">
        <f t="shared" si="5"/>
        <v>3450.9441408000016</v>
      </c>
      <c r="D48" s="7">
        <f t="shared" si="6"/>
        <v>0</v>
      </c>
      <c r="E48" s="7">
        <f t="shared" si="7"/>
        <v>0</v>
      </c>
      <c r="F48" s="7">
        <f t="shared" si="8"/>
        <v>3450.9441408000016</v>
      </c>
      <c r="G48" s="24" cm="1">
        <f t="array" ref="G48">(1-Tax_Pct)*F48</f>
        <v>2536.443943488001</v>
      </c>
    </row>
    <row r="49" spans="1:7" x14ac:dyDescent="0.3">
      <c r="A49" s="14" t="s">
        <v>41</v>
      </c>
      <c r="B49" s="6">
        <f>EDATE($B$2,47)</f>
        <v>47665</v>
      </c>
      <c r="C49" s="7">
        <f t="shared" si="5"/>
        <v>3450.9441408000016</v>
      </c>
      <c r="D49" s="7">
        <f t="shared" si="6"/>
        <v>0</v>
      </c>
      <c r="E49" s="7">
        <f t="shared" si="7"/>
        <v>0</v>
      </c>
      <c r="F49" s="7">
        <f t="shared" si="8"/>
        <v>3450.9441408000016</v>
      </c>
      <c r="G49" s="24" cm="1">
        <f t="array" ref="G49">(1-Tax_Pct)*F49</f>
        <v>2536.443943488001</v>
      </c>
    </row>
    <row r="50" spans="1:7" x14ac:dyDescent="0.3">
      <c r="A50" s="14" t="s">
        <v>41</v>
      </c>
      <c r="B50" s="6">
        <f>EDATE($B$2,48)</f>
        <v>47696</v>
      </c>
      <c r="C50" s="7">
        <f t="shared" si="5"/>
        <v>3450.9441408000016</v>
      </c>
      <c r="D50" s="7">
        <f t="shared" si="6"/>
        <v>2070.5664844800008</v>
      </c>
      <c r="E50" s="7">
        <f t="shared" si="7"/>
        <v>1367.3552256000005</v>
      </c>
      <c r="F50" s="7">
        <f t="shared" si="8"/>
        <v>6888.8658508800027</v>
      </c>
      <c r="G50" s="24" cm="1">
        <f t="array" ref="G50">(1-Tax_Pct)*F50</f>
        <v>5063.3164003968022</v>
      </c>
    </row>
    <row r="51" spans="1:7" x14ac:dyDescent="0.3">
      <c r="A51" s="14" t="s">
        <v>41</v>
      </c>
      <c r="B51" s="6">
        <f>EDATE($B$2,49)</f>
        <v>47727</v>
      </c>
      <c r="C51" s="7">
        <f t="shared" si="5"/>
        <v>3450.9441408000016</v>
      </c>
      <c r="D51" s="7">
        <f t="shared" si="6"/>
        <v>0</v>
      </c>
      <c r="E51" s="7">
        <f t="shared" si="7"/>
        <v>0</v>
      </c>
      <c r="F51" s="7">
        <f t="shared" si="8"/>
        <v>3450.9441408000016</v>
      </c>
      <c r="G51" s="24" cm="1">
        <f t="array" ref="G51">(1-Tax_Pct)*F51</f>
        <v>2536.443943488001</v>
      </c>
    </row>
    <row r="52" spans="1:7" x14ac:dyDescent="0.3">
      <c r="A52" s="14" t="s">
        <v>41</v>
      </c>
      <c r="B52" s="6">
        <f>EDATE($B$2,50)</f>
        <v>47757</v>
      </c>
      <c r="C52" s="7">
        <f t="shared" si="5"/>
        <v>3450.9441408000016</v>
      </c>
      <c r="D52" s="7">
        <f t="shared" si="6"/>
        <v>0</v>
      </c>
      <c r="E52" s="7">
        <f t="shared" si="7"/>
        <v>0</v>
      </c>
      <c r="F52" s="7">
        <f t="shared" si="8"/>
        <v>3450.9441408000016</v>
      </c>
      <c r="G52" s="24" cm="1">
        <f t="array" ref="G52">(1-Tax_Pct)*F52</f>
        <v>2536.443943488001</v>
      </c>
    </row>
    <row r="53" spans="1:7" x14ac:dyDescent="0.3">
      <c r="A53" s="14" t="s">
        <v>41</v>
      </c>
      <c r="B53" s="6">
        <f>EDATE($B$2,51)</f>
        <v>47788</v>
      </c>
      <c r="C53" s="7">
        <f t="shared" si="5"/>
        <v>3450.9441408000016</v>
      </c>
      <c r="D53" s="7">
        <f t="shared" si="6"/>
        <v>0</v>
      </c>
      <c r="E53" s="7">
        <f t="shared" si="7"/>
        <v>0</v>
      </c>
      <c r="F53" s="7">
        <f t="shared" si="8"/>
        <v>3450.9441408000016</v>
      </c>
      <c r="G53" s="24" cm="1">
        <f t="array" ref="G53">(1-Tax_Pct)*F53</f>
        <v>2536.443943488001</v>
      </c>
    </row>
    <row r="54" spans="1:7" ht="15" customHeight="1" thickBot="1" x14ac:dyDescent="0.35">
      <c r="A54" s="16" t="s">
        <v>41</v>
      </c>
      <c r="B54" s="10">
        <f>EDATE($B$2,52)</f>
        <v>47818</v>
      </c>
      <c r="C54" s="11">
        <f t="shared" si="5"/>
        <v>3450.9441408000016</v>
      </c>
      <c r="D54" s="11">
        <f t="shared" si="6"/>
        <v>0</v>
      </c>
      <c r="E54" s="11">
        <f t="shared" si="7"/>
        <v>0</v>
      </c>
      <c r="F54" s="11">
        <f t="shared" si="8"/>
        <v>3450.9441408000016</v>
      </c>
      <c r="G54" s="24" cm="1">
        <f t="array" ref="G54">(1-Tax_Pct)*F54</f>
        <v>2536.443943488001</v>
      </c>
    </row>
    <row r="55" spans="1:7" ht="15" customHeight="1" thickTop="1" x14ac:dyDescent="0.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17</vt:i4>
      </vt:variant>
    </vt:vector>
  </HeadingPairs>
  <TitlesOfParts>
    <vt:vector size="19" baseType="lpstr">
      <vt:lpstr>Inputs</vt:lpstr>
      <vt:lpstr>Monthly Schedule</vt:lpstr>
      <vt:lpstr>Appraisal_Bonus_Pct_Jan2027</vt:lpstr>
      <vt:lpstr>Appraisal_Bonus_Pct_Jan2028</vt:lpstr>
      <vt:lpstr>Appraisal_Bonus_Pct_Jan2029</vt:lpstr>
      <vt:lpstr>Appraisal_Bonus_Pct_Jan2030</vt:lpstr>
      <vt:lpstr>Appraisal_Raise_Pct_Jan2027</vt:lpstr>
      <vt:lpstr>Appraisal_Raise_Pct_Jan2028</vt:lpstr>
      <vt:lpstr>Appraisal_Raise_Pct_Jan2029</vt:lpstr>
      <vt:lpstr>Appraisal_Raise_Pct_Jan2030</vt:lpstr>
      <vt:lpstr>Base_Annual_Salary_2026</vt:lpstr>
      <vt:lpstr>Living_Expenses_EGP_Monthly</vt:lpstr>
      <vt:lpstr>LPTA_Grant_Pct_2026</vt:lpstr>
      <vt:lpstr>LPTA_Grant_Pct_2027</vt:lpstr>
      <vt:lpstr>LPTA_Grant_Pct_2028</vt:lpstr>
      <vt:lpstr>LPTA_Grant_Pct_2029</vt:lpstr>
      <vt:lpstr>LPTA_Grant_Pct_2030</vt:lpstr>
      <vt:lpstr>Tax_Pct</vt:lpstr>
      <vt:lpstr>USD_to_EGP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Fahmy, Omar</dc:creator>
  <cp:keywords/>
  <dc:description/>
  <cp:lastModifiedBy>Fahmy, Omar</cp:lastModifiedBy>
  <cp:revision/>
  <dcterms:created xsi:type="dcterms:W3CDTF">2026-05-07T21:00:19Z</dcterms:created>
  <dcterms:modified xsi:type="dcterms:W3CDTF">2026-05-11T18:46:18Z</dcterms:modified>
  <cp:category/>
  <cp:contentStatus/>
</cp:coreProperties>
</file>