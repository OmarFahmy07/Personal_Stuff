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_Stuff\Study_Plan_and_Interviews_Preparation\"/>
    </mc:Choice>
  </mc:AlternateContent>
  <xr:revisionPtr revIDLastSave="0" documentId="13_ncr:1_{A136B857-F45A-49EA-8345-C1DCBFDF42E7}" xr6:coauthVersionLast="47" xr6:coauthVersionMax="47" xr10:uidLastSave="{00000000-0000-0000-0000-000000000000}"/>
  <bookViews>
    <workbookView xWindow="57480" yWindow="-120" windowWidth="29040" windowHeight="15720" xr2:uid="{5209BAF4-4579-48BF-8320-2282030EB8FC}"/>
  </bookViews>
  <sheets>
    <sheet name="Salary Calculation System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6" i="3"/>
  <c r="B25" i="3"/>
  <c r="B8" i="3"/>
  <c r="B16" i="3" s="1"/>
  <c r="B3" i="3"/>
  <c r="I37" i="3"/>
  <c r="J30" i="3"/>
  <c r="H26" i="3"/>
  <c r="H27" i="3"/>
  <c r="H31" i="3"/>
  <c r="H30" i="3"/>
  <c r="B10" i="3" l="1"/>
  <c r="B11" i="3" s="1"/>
  <c r="B13" i="3" s="1"/>
  <c r="B9" i="3"/>
  <c r="B24" i="3" l="1"/>
  <c r="B26" i="3" s="1"/>
  <c r="B28" i="3" l="1"/>
  <c r="B29" i="3" s="1"/>
  <c r="B14" i="3" l="1"/>
  <c r="B15" i="3" l="1"/>
  <c r="B30" i="3" s="1"/>
  <c r="E32" i="3" l="1"/>
  <c r="B31" i="3" l="1"/>
</calcChain>
</file>

<file path=xl/sharedStrings.xml><?xml version="1.0" encoding="utf-8"?>
<sst xmlns="http://schemas.openxmlformats.org/spreadsheetml/2006/main" count="97" uniqueCount="73">
  <si>
    <t>Year</t>
  </si>
  <si>
    <t>USD</t>
  </si>
  <si>
    <t>Month</t>
  </si>
  <si>
    <t>USD to EGP</t>
  </si>
  <si>
    <t>P1</t>
  </si>
  <si>
    <t>EGP</t>
  </si>
  <si>
    <t>P2</t>
  </si>
  <si>
    <t>P3</t>
  </si>
  <si>
    <t>P4</t>
  </si>
  <si>
    <t>P5</t>
  </si>
  <si>
    <t>ratio of tax</t>
  </si>
  <si>
    <t>ESPP</t>
  </si>
  <si>
    <t>Target Bonus Percentage</t>
  </si>
  <si>
    <t>Career Level</t>
  </si>
  <si>
    <t>First</t>
  </si>
  <si>
    <t>Second</t>
  </si>
  <si>
    <t>Bonus Payout Factor</t>
  </si>
  <si>
    <t>Last Two Quarters</t>
  </si>
  <si>
    <t>Amount</t>
  </si>
  <si>
    <t>Comments</t>
  </si>
  <si>
    <t>Numbers change over time. Check online/Copilot frequently.</t>
  </si>
  <si>
    <t>This number can be obtained from "قانون الضريبة علي الدخل" as shown on the right</t>
  </si>
  <si>
    <t>Pension Match Employee</t>
  </si>
  <si>
    <t>Gross Monthly Salary</t>
  </si>
  <si>
    <t>Tax Excuse</t>
  </si>
  <si>
    <t>Taxable Annual Salary</t>
  </si>
  <si>
    <t>Annual Income Tax</t>
  </si>
  <si>
    <t>Monthly Income Tax</t>
  </si>
  <si>
    <t>Monthly Salary After Pension</t>
  </si>
  <si>
    <t>Annual Salary After Pension</t>
  </si>
  <si>
    <t>Net Monthly Salary</t>
  </si>
  <si>
    <t>%</t>
  </si>
  <si>
    <t>Monthly Martyrs Fund</t>
  </si>
  <si>
    <t>Has an ESPP cycle just ended this month and you were participating? (Yes/No)</t>
  </si>
  <si>
    <t>Number of Months from First Quarter Included in Bonus (Effective Only if there Was a Bonus this Month)</t>
  </si>
  <si>
    <t>Number of Months from Second Quarter Included in Bonus (Effective Only if there Was a Bonus this Month)</t>
  </si>
  <si>
    <t>Bonus</t>
  </si>
  <si>
    <t>Bonus is added only on June and December salaries</t>
  </si>
  <si>
    <t>Company's Discount (Effective Only if an ESPP Cycle has Just Ended This Month)</t>
  </si>
  <si>
    <t>Share Buying Price (Effective Only if an ESPP Cycle has Just Ended This Month)</t>
  </si>
  <si>
    <t>Number of Shares Bought (Effective Only if an ESPP Cycle has Just Ended This Month)</t>
  </si>
  <si>
    <t>Share FMV at the Start of the Cycle (Effective Only if an ESPP Cycle has Just Ended This Month)</t>
  </si>
  <si>
    <t>Share FMV at the End of the Cycle (Effective Only if an ESPP Cycle has Just Ended This Month)</t>
  </si>
  <si>
    <t>Shares</t>
  </si>
  <si>
    <t>Unit</t>
  </si>
  <si>
    <t>Purchase Value (Effective Only if an ESPP Cycle has Just Ended This Month)</t>
  </si>
  <si>
    <t>ESPP Tax (Effective Only if an ESPP Cycle has Just Ended This Month)</t>
  </si>
  <si>
    <t>Total ESPP Benefit from Taxes POV (Effective Only if an ESPP Cycle has Just Ended This Month)</t>
  </si>
  <si>
    <t>Current ESPP Contribution</t>
  </si>
  <si>
    <t>Current Monthly ESPP Contribution</t>
  </si>
  <si>
    <t>Not sure, but the tax percentage most probably depends on "الشريحة الضريبية" for the current month</t>
  </si>
  <si>
    <t>Approximation</t>
  </si>
  <si>
    <t>Taxes = Gross * 0.26 + ESPP Tax</t>
  </si>
  <si>
    <t>Tax = 0.275 * B24</t>
  </si>
  <si>
    <t>B24 = (MAX(B19,B20)-B21)*B23</t>
  </si>
  <si>
    <t>B19: Share start FMV</t>
  </si>
  <si>
    <t>B20: Share end FMV</t>
  </si>
  <si>
    <t>B21: Share Buying Price</t>
  </si>
  <si>
    <t>B23 = B22 / B21</t>
  </si>
  <si>
    <t>B22: Purchase Value</t>
  </si>
  <si>
    <t>B24=B19*0.2*B23</t>
  </si>
  <si>
    <t>B21 = B19*0.8</t>
  </si>
  <si>
    <t>B19</t>
  </si>
  <si>
    <t>B20 = B19</t>
  </si>
  <si>
    <t>B23 = B22 / (B19 * 0.8)</t>
  </si>
  <si>
    <t>B24 = 0.25 * B22</t>
  </si>
  <si>
    <t>Tax = 0.275 * 0.25 * Purchase Value</t>
  </si>
  <si>
    <t>Net = Gross - Gross *  0.26 - ESPP Tax - ESPP Contribution</t>
  </si>
  <si>
    <t>Net = Gross - Taxes - ESPP Contribution</t>
  </si>
  <si>
    <t>Net = (1 -0.26) * Gross - ESPP Tax - ESPP Contribution</t>
  </si>
  <si>
    <t xml:space="preserve">ESPP Tax = 0.275 * 0.25 * Purchase Value </t>
  </si>
  <si>
    <t>Purchase Value = 6 * ESPP Contribution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</si>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</sst>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344288</xdr:colOff>
      <xdr:row>11</xdr:row>
      <xdr:rowOff>78387</xdr:rowOff>
    </xdr:from>
    <xdr:to>
      <xdr:col>12</xdr:col>
      <xdr:colOff>282772</xdr:colOff>
      <xdr:row>23</xdr:row>
      <xdr:rowOff>250324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B184B3-7241-8DF6-91D0-7E33E8EB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1085" y="3045028"/>
          <a:ext cx="5990750" cy="4396750"/>
        </a:xfrm>
        <a:prstGeom prst="rect">
          <a:avLst/>
        </a:prstGeom>
      </xdr:spPr>
    </xdr:pic>
    <xdr:clientData/>
  </xdr:twoCellAnchor>
  <xdr:twoCellAnchor editAs="oneCell">
    <xdr:from>
      <xdr:col>8</xdr:col>
      <xdr:colOff>700850</xdr:colOff>
      <xdr:row>8</xdr:row>
      <xdr:rowOff>0</xdr:rowOff>
    </xdr:from>
    <xdr:to>
      <xdr:col>10</xdr:col>
      <xdr:colOff>287641</xdr:colOff>
      <xdr:row>11</xdr:row>
      <xdr:rowOff>3450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7CE8C9-8F73-6E5F-79BF-D5C207480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2881" y="2222500"/>
          <a:ext cx="3267641" cy="747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2A96-0145-43C5-ACDF-5B49DC64BCAA}">
  <dimension ref="A1:M39"/>
  <sheetViews>
    <sheetView tabSelected="1" topLeftCell="A20" zoomScale="113" zoomScaleNormal="130" workbookViewId="0">
      <selection activeCell="B27" sqref="B27"/>
    </sheetView>
  </sheetViews>
  <sheetFormatPr defaultRowHeight="14.4" x14ac:dyDescent="0.3"/>
  <cols>
    <col min="1" max="1" width="38.88671875" style="3" bestFit="1" customWidth="1"/>
    <col min="2" max="2" width="12" style="2" bestFit="1" customWidth="1"/>
    <col min="3" max="3" width="8.5546875" style="2" bestFit="1" customWidth="1"/>
    <col min="4" max="4" width="59.77734375" style="3" customWidth="1"/>
    <col min="5" max="5" width="36.6640625" bestFit="1" customWidth="1"/>
    <col min="6" max="6" width="5.21875" bestFit="1" customWidth="1"/>
    <col min="7" max="7" width="27.88671875" bestFit="1" customWidth="1"/>
    <col min="9" max="9" width="31.33203125" style="2" bestFit="1" customWidth="1"/>
    <col min="10" max="10" width="22.77734375" style="2" bestFit="1" customWidth="1"/>
    <col min="12" max="12" width="16.77734375" style="2" bestFit="1" customWidth="1"/>
    <col min="13" max="13" width="18" style="2" bestFit="1" customWidth="1"/>
  </cols>
  <sheetData>
    <row r="1" spans="1:13" x14ac:dyDescent="0.3">
      <c r="B1" s="1" t="s">
        <v>18</v>
      </c>
      <c r="C1" s="1" t="s">
        <v>44</v>
      </c>
      <c r="D1" s="4" t="s">
        <v>19</v>
      </c>
      <c r="I1" s="1" t="s">
        <v>13</v>
      </c>
      <c r="J1" s="1" t="s">
        <v>12</v>
      </c>
      <c r="L1" s="1" t="s">
        <v>17</v>
      </c>
      <c r="M1" s="1" t="s">
        <v>16</v>
      </c>
    </row>
    <row r="2" spans="1:13" x14ac:dyDescent="0.3">
      <c r="A2" s="3" t="s">
        <v>0</v>
      </c>
      <c r="B2" s="2">
        <f>24000*1.14</f>
        <v>27359.999999999996</v>
      </c>
      <c r="C2" s="2" t="s">
        <v>1</v>
      </c>
      <c r="I2" s="2" t="s">
        <v>4</v>
      </c>
      <c r="J2" s="2">
        <v>0.05</v>
      </c>
      <c r="L2" s="2" t="s">
        <v>14</v>
      </c>
      <c r="M2" s="2">
        <v>2.5499999999999998</v>
      </c>
    </row>
    <row r="3" spans="1:13" x14ac:dyDescent="0.3">
      <c r="A3" s="3" t="s">
        <v>2</v>
      </c>
      <c r="B3" s="2">
        <f>B2/12</f>
        <v>2279.9999999999995</v>
      </c>
      <c r="C3" s="2" t="s">
        <v>1</v>
      </c>
      <c r="I3" s="2" t="s">
        <v>6</v>
      </c>
      <c r="J3" s="2">
        <v>7.0000000000000007E-2</v>
      </c>
      <c r="L3" s="2" t="s">
        <v>15</v>
      </c>
      <c r="M3" s="2">
        <v>2.9</v>
      </c>
    </row>
    <row r="4" spans="1:13" ht="43.2" x14ac:dyDescent="0.3">
      <c r="A4" s="3" t="s">
        <v>34</v>
      </c>
      <c r="B4" s="2">
        <v>0</v>
      </c>
      <c r="D4" s="6" t="s">
        <v>37</v>
      </c>
      <c r="I4" s="2" t="s">
        <v>7</v>
      </c>
      <c r="J4" s="2">
        <v>0.1</v>
      </c>
    </row>
    <row r="5" spans="1:13" ht="43.2" x14ac:dyDescent="0.3">
      <c r="A5" s="3" t="s">
        <v>35</v>
      </c>
      <c r="B5" s="2">
        <v>0</v>
      </c>
      <c r="D5" s="6"/>
      <c r="I5" s="2" t="s">
        <v>8</v>
      </c>
      <c r="J5" s="2">
        <v>0.15</v>
      </c>
    </row>
    <row r="6" spans="1:13" x14ac:dyDescent="0.3">
      <c r="A6" s="3" t="s">
        <v>36</v>
      </c>
      <c r="B6" s="2">
        <f>(B4*J3*M2*B3) + (B5*J3*M3*B3)</f>
        <v>0</v>
      </c>
      <c r="C6" s="2" t="s">
        <v>1</v>
      </c>
      <c r="D6" s="6"/>
      <c r="I6" s="2" t="s">
        <v>9</v>
      </c>
      <c r="J6" s="2">
        <v>0.2</v>
      </c>
    </row>
    <row r="7" spans="1:13" x14ac:dyDescent="0.3">
      <c r="A7" s="3" t="s">
        <v>3</v>
      </c>
      <c r="B7" s="2">
        <v>51.5</v>
      </c>
      <c r="D7" s="6"/>
    </row>
    <row r="8" spans="1:13" x14ac:dyDescent="0.3">
      <c r="A8" s="3" t="s">
        <v>23</v>
      </c>
      <c r="B8" s="2">
        <f>(B3+B6)*B7</f>
        <v>117419.99999999997</v>
      </c>
      <c r="C8" s="2" t="s">
        <v>5</v>
      </c>
    </row>
    <row r="9" spans="1:13" ht="28.8" x14ac:dyDescent="0.3">
      <c r="A9" s="3" t="s">
        <v>22</v>
      </c>
      <c r="B9" s="2">
        <f>16700 * 0.11</f>
        <v>1837</v>
      </c>
      <c r="C9" s="2" t="s">
        <v>5</v>
      </c>
      <c r="D9" s="3" t="s">
        <v>20</v>
      </c>
    </row>
    <row r="10" spans="1:13" x14ac:dyDescent="0.3">
      <c r="A10" s="3" t="s">
        <v>28</v>
      </c>
      <c r="B10" s="2">
        <f>B8-B9</f>
        <v>115582.99999999997</v>
      </c>
      <c r="C10" s="2" t="s">
        <v>5</v>
      </c>
    </row>
    <row r="11" spans="1:13" x14ac:dyDescent="0.3">
      <c r="A11" s="3" t="s">
        <v>29</v>
      </c>
      <c r="B11" s="2">
        <f>B10*12</f>
        <v>1386995.9999999995</v>
      </c>
      <c r="C11" s="2" t="s">
        <v>5</v>
      </c>
    </row>
    <row r="12" spans="1:13" ht="28.8" x14ac:dyDescent="0.3">
      <c r="A12" s="3" t="s">
        <v>24</v>
      </c>
      <c r="B12" s="2">
        <v>20000</v>
      </c>
      <c r="C12" s="2" t="s">
        <v>5</v>
      </c>
      <c r="D12" s="3" t="s">
        <v>21</v>
      </c>
    </row>
    <row r="13" spans="1:13" x14ac:dyDescent="0.3">
      <c r="A13" s="3" t="s">
        <v>25</v>
      </c>
      <c r="B13" s="2">
        <f>B11-B12</f>
        <v>1366995.9999999995</v>
      </c>
      <c r="C13" s="2" t="s">
        <v>5</v>
      </c>
    </row>
    <row r="14" spans="1:13" x14ac:dyDescent="0.3">
      <c r="A14" s="3" t="s">
        <v>26</v>
      </c>
      <c r="B14" s="3">
        <f>IF(B13&gt;1200000,300000+(B13-1200000)*0.275,IF(B13&gt;900000,90000+(B13-400000)*0.25,IF(B13&gt;800000,85000+(B13-400000)*0.25,IF(B13&gt;700000,81500+(B13-400000)*0.25,IF(B13&gt;600000,78750+(B13-400000)*0.25,IF(B13&gt;400000,74750+(B13-400000)*0.25,IF(B13&gt;200000,29750+(B13-200000)*0.225,IF(B13&gt;70000,3750+(B13-70000)*0.2,IF(B13&gt;55000,1500+(B13-55000)*0.15,IF(B13&gt;40000,(B13-40000)*0.1,0))))))))))</f>
        <v>345923.89999999991</v>
      </c>
      <c r="C14" s="2" t="s">
        <v>5</v>
      </c>
    </row>
    <row r="15" spans="1:13" x14ac:dyDescent="0.3">
      <c r="A15" s="3" t="s">
        <v>27</v>
      </c>
      <c r="B15" s="2">
        <f>B14/12</f>
        <v>28826.991666666658</v>
      </c>
      <c r="C15" s="2" t="s">
        <v>5</v>
      </c>
    </row>
    <row r="16" spans="1:13" x14ac:dyDescent="0.3">
      <c r="A16" s="3" t="s">
        <v>32</v>
      </c>
      <c r="B16" s="2">
        <f>0.0005*B8</f>
        <v>58.709999999999987</v>
      </c>
      <c r="C16" s="2" t="s">
        <v>5</v>
      </c>
    </row>
    <row r="17" spans="1:10" ht="28.8" x14ac:dyDescent="0.3">
      <c r="A17" s="3" t="s">
        <v>33</v>
      </c>
      <c r="B17" s="2" t="s">
        <v>72</v>
      </c>
    </row>
    <row r="18" spans="1:10" ht="28.8" x14ac:dyDescent="0.3">
      <c r="A18" s="3" t="s">
        <v>38</v>
      </c>
      <c r="B18" s="2">
        <v>20</v>
      </c>
      <c r="C18" s="2" t="s">
        <v>31</v>
      </c>
    </row>
    <row r="19" spans="1:10" ht="43.2" x14ac:dyDescent="0.3">
      <c r="A19" s="3" t="s">
        <v>41</v>
      </c>
      <c r="B19" s="2">
        <v>279.13</v>
      </c>
      <c r="C19" s="2" t="s">
        <v>1</v>
      </c>
    </row>
    <row r="20" spans="1:10" ht="43.2" x14ac:dyDescent="0.3">
      <c r="A20" s="3" t="s">
        <v>42</v>
      </c>
      <c r="B20" s="2">
        <v>401.39</v>
      </c>
      <c r="C20" s="2" t="s">
        <v>1</v>
      </c>
    </row>
    <row r="21" spans="1:10" ht="28.8" x14ac:dyDescent="0.3">
      <c r="A21" s="3" t="s">
        <v>39</v>
      </c>
      <c r="B21" s="2">
        <v>223.3</v>
      </c>
      <c r="C21" s="2" t="s">
        <v>1</v>
      </c>
    </row>
    <row r="22" spans="1:10" ht="28.8" x14ac:dyDescent="0.3">
      <c r="A22" s="3" t="s">
        <v>45</v>
      </c>
      <c r="B22" s="2">
        <v>2455.9</v>
      </c>
      <c r="C22" s="2" t="s">
        <v>1</v>
      </c>
    </row>
    <row r="23" spans="1:10" ht="28.8" x14ac:dyDescent="0.3">
      <c r="A23" s="3" t="s">
        <v>40</v>
      </c>
      <c r="B23" s="2">
        <v>10.997999999999999</v>
      </c>
      <c r="C23" s="2" t="s">
        <v>43</v>
      </c>
    </row>
    <row r="24" spans="1:10" ht="43.2" x14ac:dyDescent="0.3">
      <c r="A24" s="3" t="s">
        <v>47</v>
      </c>
      <c r="B24" s="2">
        <f>(MAX(B19,B20)-B21)*B23</f>
        <v>1958.6338199999996</v>
      </c>
      <c r="C24" s="2" t="s">
        <v>1</v>
      </c>
    </row>
    <row r="25" spans="1:10" ht="28.8" x14ac:dyDescent="0.3">
      <c r="A25" s="3" t="s">
        <v>46</v>
      </c>
      <c r="B25" s="2">
        <f>B24*0.275</f>
        <v>538.62430049999989</v>
      </c>
      <c r="C25" s="2" t="s">
        <v>1</v>
      </c>
      <c r="D25" s="3" t="s">
        <v>50</v>
      </c>
    </row>
    <row r="26" spans="1:10" ht="28.8" x14ac:dyDescent="0.3">
      <c r="A26" s="3" t="s">
        <v>46</v>
      </c>
      <c r="B26" s="2">
        <f>IF(LOWER(B17)="yes",B25*B7,0)</f>
        <v>0</v>
      </c>
      <c r="C26" s="2" t="s">
        <v>5</v>
      </c>
      <c r="G26" t="s">
        <v>53</v>
      </c>
      <c r="H26">
        <f>0.275*H27</f>
        <v>339.36910655692702</v>
      </c>
      <c r="I26" s="2" t="s">
        <v>66</v>
      </c>
    </row>
    <row r="27" spans="1:10" x14ac:dyDescent="0.3">
      <c r="A27" s="3" t="s">
        <v>48</v>
      </c>
      <c r="B27" s="2">
        <v>20</v>
      </c>
      <c r="C27" s="2" t="s">
        <v>31</v>
      </c>
      <c r="G27" t="s">
        <v>54</v>
      </c>
      <c r="H27">
        <f>(MAX(H28,H29)-H30)*H31</f>
        <v>1234.0694783888255</v>
      </c>
      <c r="I27" s="2" t="s">
        <v>60</v>
      </c>
      <c r="J27" s="2" t="s">
        <v>65</v>
      </c>
    </row>
    <row r="28" spans="1:10" x14ac:dyDescent="0.3">
      <c r="A28" s="3" t="s">
        <v>49</v>
      </c>
      <c r="B28" s="2">
        <f>B27*B3/100</f>
        <v>455.99999999999994</v>
      </c>
      <c r="C28" s="2" t="s">
        <v>1</v>
      </c>
      <c r="G28" t="s">
        <v>55</v>
      </c>
      <c r="H28">
        <v>227.66</v>
      </c>
      <c r="I28" s="2" t="s">
        <v>62</v>
      </c>
    </row>
    <row r="29" spans="1:10" x14ac:dyDescent="0.3">
      <c r="A29" s="3" t="s">
        <v>11</v>
      </c>
      <c r="B29" s="2">
        <f>B28*B7</f>
        <v>23483.999999999996</v>
      </c>
      <c r="C29" s="2" t="s">
        <v>5</v>
      </c>
      <c r="G29" t="s">
        <v>56</v>
      </c>
      <c r="H29">
        <v>281.29000000000002</v>
      </c>
      <c r="I29" s="2" t="s">
        <v>63</v>
      </c>
    </row>
    <row r="30" spans="1:10" x14ac:dyDescent="0.3">
      <c r="A30" s="3" t="s">
        <v>30</v>
      </c>
      <c r="B30" s="2">
        <f>B10-B15-B16-B26-B29</f>
        <v>63213.29833333331</v>
      </c>
      <c r="C30" s="2" t="s">
        <v>5</v>
      </c>
      <c r="G30" t="s">
        <v>57</v>
      </c>
      <c r="H30">
        <f>MIN(H28,H29)*0.8</f>
        <v>182.12800000000001</v>
      </c>
      <c r="I30" s="2" t="s">
        <v>61</v>
      </c>
      <c r="J30" s="2">
        <f>0.275*0.25*2266.58</f>
        <v>155.82737500000002</v>
      </c>
    </row>
    <row r="31" spans="1:10" x14ac:dyDescent="0.3">
      <c r="A31" s="3" t="s">
        <v>30</v>
      </c>
      <c r="B31" s="2">
        <f>ROUND(B30/B7,0)</f>
        <v>1227</v>
      </c>
      <c r="C31" s="2" t="s">
        <v>1</v>
      </c>
      <c r="G31" t="s">
        <v>58</v>
      </c>
      <c r="H31">
        <f>H32/H30</f>
        <v>12.444983747693929</v>
      </c>
      <c r="I31" s="2" t="s">
        <v>64</v>
      </c>
    </row>
    <row r="32" spans="1:10" x14ac:dyDescent="0.3">
      <c r="D32" s="5" t="s">
        <v>10</v>
      </c>
      <c r="E32">
        <f>((B9+B15+B16)/B8)*100</f>
        <v>26.164794469993751</v>
      </c>
      <c r="G32" t="s">
        <v>59</v>
      </c>
      <c r="H32">
        <v>2266.58</v>
      </c>
    </row>
    <row r="35" spans="4:9" x14ac:dyDescent="0.3">
      <c r="D35" s="4" t="s">
        <v>51</v>
      </c>
    </row>
    <row r="36" spans="4:9" x14ac:dyDescent="0.3">
      <c r="D36" s="3" t="s">
        <v>68</v>
      </c>
      <c r="G36" s="2"/>
    </row>
    <row r="37" spans="4:9" x14ac:dyDescent="0.3">
      <c r="D37" s="3" t="s">
        <v>52</v>
      </c>
      <c r="E37" t="s">
        <v>70</v>
      </c>
      <c r="G37" s="2"/>
      <c r="I37" s="2">
        <f>(1-0.2688)*(2280+2322.18)-(0.2688*0.25*456*6)-456</f>
        <v>2725.2548160000006</v>
      </c>
    </row>
    <row r="38" spans="4:9" x14ac:dyDescent="0.3">
      <c r="D38" s="3" t="s">
        <v>67</v>
      </c>
      <c r="E38" t="s">
        <v>71</v>
      </c>
    </row>
    <row r="39" spans="4:9" x14ac:dyDescent="0.3">
      <c r="D39" s="3" t="s">
        <v>69</v>
      </c>
    </row>
  </sheetData>
  <mergeCells count="1">
    <mergeCell ref="D4:D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Calculation System</vt:lpstr>
    </vt:vector>
  </TitlesOfParts>
  <Company>Analog Devices,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Mossad, Bassem</dc:creator>
  <cp:lastModifiedBy>Fahmy, Omar</cp:lastModifiedBy>
  <dcterms:created xsi:type="dcterms:W3CDTF">2025-12-21T11:04:32Z</dcterms:created>
  <dcterms:modified xsi:type="dcterms:W3CDTF">2026-08-20T08:19:23Z</dcterms:modified>
</cp:coreProperties>
</file>