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nalog-my.sharepoint.com/personal/omar_fahmy_analog_com/Documents/Personal Stuff/Study_Plan_and_Interviews_Preparation/Telink_Interview_Process/"/>
    </mc:Choice>
  </mc:AlternateContent>
  <xr:revisionPtr revIDLastSave="44" documentId="13_ncr:1_{B9AD15D9-83D2-47C5-9E6D-7C4C5B719E61}" xr6:coauthVersionLast="47" xr6:coauthVersionMax="47" xr10:uidLastSave="{CF6861D7-CD04-472A-8BB8-6419EB9E1FC0}"/>
  <bookViews>
    <workbookView xWindow="28680" yWindow="-120" windowWidth="29040" windowHeight="15720" activeTab="2" xr2:uid="{00000000-000D-0000-FFFF-FFFF00000000}"/>
  </bookViews>
  <sheets>
    <sheet name="Inputs" sheetId="1" r:id="rId1"/>
    <sheet name="Monthly Schedule" sheetId="2" r:id="rId2"/>
    <sheet name="Monthly Schedule Modified" sheetId="3" r:id="rId3"/>
  </sheets>
  <definedNames>
    <definedName name="Base_Annual_Salary">Inputs!$B$4</definedName>
    <definedName name="Bonus_Pct_Post">Inputs!$B$9</definedName>
    <definedName name="Bonus_Pct_Pre">Inputs!$B$8</definedName>
    <definedName name="ESPP_Contrib_Pct">Inputs!$B$14</definedName>
    <definedName name="ESPP_Discount">Inputs!$B$15</definedName>
    <definedName name="QuarterKey_Range">Inputs!$D$22:$D$29</definedName>
    <definedName name="QuarterMult_Range">Inputs!$F$22:$F$29</definedName>
    <definedName name="Raise_Effective_Date">Inputs!$B$6</definedName>
    <definedName name="Raise_Pct">Inputs!$B$5</definedName>
    <definedName name="RSU_Grant_Date">Inputs!$B$12</definedName>
    <definedName name="RSU_Grant_Value">Inputs!$B$11</definedName>
    <definedName name="Schedule_End_Month">Inputs!$B$18</definedName>
    <definedName name="Schedule_Start_Month">Inputs!$B$17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" i="2" s="1"/>
  <c r="F24" i="3"/>
  <c r="A24" i="3"/>
  <c r="D24" i="3" s="1"/>
  <c r="A23" i="3"/>
  <c r="B23" i="3" s="1"/>
  <c r="F22" i="3"/>
  <c r="A22" i="3"/>
  <c r="D22" i="3" s="1"/>
  <c r="L21" i="3"/>
  <c r="K21" i="3"/>
  <c r="A21" i="3"/>
  <c r="L20" i="3"/>
  <c r="K20" i="3"/>
  <c r="A20" i="3"/>
  <c r="L19" i="3"/>
  <c r="K19" i="3"/>
  <c r="F19" i="3"/>
  <c r="C19" i="3"/>
  <c r="A19" i="3"/>
  <c r="B19" i="3" s="1"/>
  <c r="L18" i="3"/>
  <c r="K18" i="3"/>
  <c r="A18" i="3"/>
  <c r="L17" i="3"/>
  <c r="K17" i="3"/>
  <c r="C17" i="3"/>
  <c r="A17" i="3"/>
  <c r="F17" i="3" s="1"/>
  <c r="L16" i="3"/>
  <c r="K16" i="3"/>
  <c r="F16" i="3"/>
  <c r="C16" i="3"/>
  <c r="B16" i="3"/>
  <c r="E16" i="3" s="1"/>
  <c r="A16" i="3"/>
  <c r="L15" i="3"/>
  <c r="K15" i="3"/>
  <c r="A15" i="3"/>
  <c r="B15" i="3" s="1"/>
  <c r="L14" i="3"/>
  <c r="K14" i="3"/>
  <c r="C14" i="3"/>
  <c r="A14" i="3"/>
  <c r="L13" i="3"/>
  <c r="K13" i="3"/>
  <c r="F13" i="3"/>
  <c r="C13" i="3"/>
  <c r="B13" i="3"/>
  <c r="E13" i="3" s="1"/>
  <c r="A13" i="3"/>
  <c r="L12" i="3"/>
  <c r="K12" i="3"/>
  <c r="A12" i="3"/>
  <c r="F12" i="3" s="1"/>
  <c r="L11" i="3"/>
  <c r="K11" i="3"/>
  <c r="F11" i="3"/>
  <c r="A11" i="3"/>
  <c r="L10" i="3"/>
  <c r="K10" i="3"/>
  <c r="A10" i="3"/>
  <c r="D10" i="3" s="1"/>
  <c r="L9" i="3"/>
  <c r="K9" i="3"/>
  <c r="A9" i="3"/>
  <c r="F9" i="3" s="1"/>
  <c r="L8" i="3"/>
  <c r="K8" i="3"/>
  <c r="A8" i="3"/>
  <c r="C8" i="3" s="1"/>
  <c r="L7" i="3"/>
  <c r="K7" i="3"/>
  <c r="A7" i="3"/>
  <c r="D7" i="3" s="1"/>
  <c r="L6" i="3"/>
  <c r="K6" i="3"/>
  <c r="A6" i="3"/>
  <c r="F6" i="3" s="1"/>
  <c r="L5" i="3"/>
  <c r="K5" i="3"/>
  <c r="F5" i="3"/>
  <c r="D5" i="3"/>
  <c r="C5" i="3"/>
  <c r="A5" i="3"/>
  <c r="B5" i="3" s="1"/>
  <c r="L4" i="3"/>
  <c r="K4" i="3"/>
  <c r="A4" i="3"/>
  <c r="L3" i="3"/>
  <c r="K3" i="3"/>
  <c r="D8" i="3" s="1"/>
  <c r="C3" i="3"/>
  <c r="A3" i="3"/>
  <c r="F3" i="3" s="1"/>
  <c r="L2" i="3"/>
  <c r="K2" i="3"/>
  <c r="D3" i="3" s="1"/>
  <c r="C2" i="3"/>
  <c r="A24" i="2"/>
  <c r="A23" i="2"/>
  <c r="A22" i="2"/>
  <c r="L21" i="2"/>
  <c r="K21" i="2"/>
  <c r="A21" i="2"/>
  <c r="L20" i="2"/>
  <c r="K20" i="2"/>
  <c r="A20" i="2"/>
  <c r="L19" i="2"/>
  <c r="K19" i="2"/>
  <c r="A19" i="2"/>
  <c r="L18" i="2"/>
  <c r="K18" i="2"/>
  <c r="A18" i="2"/>
  <c r="L17" i="2"/>
  <c r="K17" i="2"/>
  <c r="A17" i="2"/>
  <c r="L16" i="2"/>
  <c r="K16" i="2"/>
  <c r="A16" i="2"/>
  <c r="L15" i="2"/>
  <c r="K15" i="2"/>
  <c r="A15" i="2"/>
  <c r="L14" i="2"/>
  <c r="K14" i="2"/>
  <c r="A14" i="2"/>
  <c r="L13" i="2"/>
  <c r="K13" i="2"/>
  <c r="A13" i="2"/>
  <c r="L12" i="2"/>
  <c r="K12" i="2"/>
  <c r="A12" i="2"/>
  <c r="L11" i="2"/>
  <c r="K11" i="2"/>
  <c r="A11" i="2"/>
  <c r="L10" i="2"/>
  <c r="K10" i="2"/>
  <c r="A10" i="2"/>
  <c r="L9" i="2"/>
  <c r="K9" i="2"/>
  <c r="A9" i="2"/>
  <c r="L8" i="2"/>
  <c r="K8" i="2"/>
  <c r="A8" i="2"/>
  <c r="L7" i="2"/>
  <c r="K7" i="2"/>
  <c r="A7" i="2"/>
  <c r="L6" i="2"/>
  <c r="K6" i="2"/>
  <c r="A6" i="2"/>
  <c r="L5" i="2"/>
  <c r="K5" i="2"/>
  <c r="D2" i="2" s="1"/>
  <c r="A5" i="2"/>
  <c r="L4" i="2"/>
  <c r="K4" i="2"/>
  <c r="A4" i="2"/>
  <c r="L3" i="2"/>
  <c r="K3" i="2"/>
  <c r="A3" i="2"/>
  <c r="L2" i="2"/>
  <c r="K2" i="2"/>
  <c r="F2" i="2"/>
  <c r="C2" i="2"/>
  <c r="D11" i="3" l="1"/>
  <c r="B2" i="3"/>
  <c r="E2" i="3" s="1"/>
  <c r="B21" i="3"/>
  <c r="B14" i="3"/>
  <c r="E14" i="3" s="1"/>
  <c r="B18" i="3"/>
  <c r="E18" i="3" s="1"/>
  <c r="E15" i="3"/>
  <c r="E5" i="3"/>
  <c r="G5" i="3" s="1"/>
  <c r="E19" i="3"/>
  <c r="D16" i="3"/>
  <c r="G16" i="3" s="1"/>
  <c r="B7" i="3"/>
  <c r="C10" i="3"/>
  <c r="D4" i="3"/>
  <c r="F10" i="3"/>
  <c r="B12" i="3"/>
  <c r="C15" i="3"/>
  <c r="D18" i="3"/>
  <c r="C23" i="3"/>
  <c r="F7" i="3"/>
  <c r="B9" i="3"/>
  <c r="C12" i="3"/>
  <c r="D15" i="3"/>
  <c r="F21" i="3"/>
  <c r="D23" i="3"/>
  <c r="F4" i="3"/>
  <c r="B6" i="3"/>
  <c r="C9" i="3"/>
  <c r="D12" i="3"/>
  <c r="F18" i="3"/>
  <c r="B20" i="3"/>
  <c r="B3" i="3"/>
  <c r="C6" i="3"/>
  <c r="D9" i="3"/>
  <c r="F15" i="3"/>
  <c r="B17" i="3"/>
  <c r="C20" i="3"/>
  <c r="F23" i="3"/>
  <c r="D2" i="3"/>
  <c r="B10" i="3"/>
  <c r="B4" i="3"/>
  <c r="C21" i="3"/>
  <c r="D21" i="3"/>
  <c r="D17" i="3"/>
  <c r="D13" i="3"/>
  <c r="G13" i="3" s="1"/>
  <c r="C7" i="3"/>
  <c r="C4" i="3"/>
  <c r="D14" i="3"/>
  <c r="B22" i="3"/>
  <c r="B24" i="3"/>
  <c r="C18" i="3"/>
  <c r="D6" i="3"/>
  <c r="D20" i="3"/>
  <c r="B11" i="3"/>
  <c r="B8" i="3"/>
  <c r="C11" i="3"/>
  <c r="C22" i="3"/>
  <c r="C24" i="3"/>
  <c r="D19" i="3"/>
  <c r="F2" i="3"/>
  <c r="E2" i="2"/>
  <c r="G2" i="2" s="1"/>
  <c r="F3" i="2"/>
  <c r="D3" i="2"/>
  <c r="C3" i="2"/>
  <c r="B3" i="2"/>
  <c r="F4" i="2"/>
  <c r="D4" i="2"/>
  <c r="C4" i="2"/>
  <c r="B4" i="2"/>
  <c r="F5" i="2"/>
  <c r="D5" i="2"/>
  <c r="C5" i="2"/>
  <c r="B5" i="2"/>
  <c r="F6" i="2"/>
  <c r="D6" i="2"/>
  <c r="C6" i="2"/>
  <c r="B6" i="2"/>
  <c r="F7" i="2"/>
  <c r="D7" i="2"/>
  <c r="C7" i="2"/>
  <c r="B7" i="2"/>
  <c r="D8" i="2"/>
  <c r="C8" i="2"/>
  <c r="B8" i="2"/>
  <c r="F9" i="2"/>
  <c r="D9" i="2"/>
  <c r="C9" i="2"/>
  <c r="B9" i="2"/>
  <c r="F10" i="2"/>
  <c r="D10" i="2"/>
  <c r="C10" i="2"/>
  <c r="B10" i="2"/>
  <c r="F11" i="2"/>
  <c r="D11" i="2"/>
  <c r="C11" i="2"/>
  <c r="B11" i="2"/>
  <c r="F12" i="2"/>
  <c r="D12" i="2"/>
  <c r="C12" i="2"/>
  <c r="B12" i="2"/>
  <c r="F13" i="2"/>
  <c r="D13" i="2"/>
  <c r="C13" i="2"/>
  <c r="B13" i="2"/>
  <c r="D14" i="2"/>
  <c r="C14" i="2"/>
  <c r="B14" i="2"/>
  <c r="F15" i="2"/>
  <c r="D15" i="2"/>
  <c r="C15" i="2"/>
  <c r="B15" i="2"/>
  <c r="F16" i="2"/>
  <c r="D16" i="2"/>
  <c r="C16" i="2"/>
  <c r="B16" i="2"/>
  <c r="F17" i="2"/>
  <c r="D17" i="2"/>
  <c r="C17" i="2"/>
  <c r="B17" i="2"/>
  <c r="F18" i="2"/>
  <c r="D18" i="2"/>
  <c r="C18" i="2"/>
  <c r="B18" i="2"/>
  <c r="F19" i="2"/>
  <c r="D19" i="2"/>
  <c r="C19" i="2"/>
  <c r="B19" i="2"/>
  <c r="D20" i="2"/>
  <c r="C20" i="2"/>
  <c r="B20" i="2"/>
  <c r="F21" i="2"/>
  <c r="D21" i="2"/>
  <c r="C21" i="2"/>
  <c r="B21" i="2"/>
  <c r="F22" i="2"/>
  <c r="D22" i="2"/>
  <c r="C22" i="2"/>
  <c r="B22" i="2"/>
  <c r="F23" i="2"/>
  <c r="D23" i="2"/>
  <c r="C23" i="2"/>
  <c r="B23" i="2"/>
  <c r="F24" i="2"/>
  <c r="D24" i="2"/>
  <c r="C24" i="2"/>
  <c r="B24" i="2"/>
  <c r="G19" i="3" l="1"/>
  <c r="G2" i="3"/>
  <c r="G18" i="3"/>
  <c r="G15" i="3"/>
  <c r="G21" i="3"/>
  <c r="G23" i="3"/>
  <c r="G24" i="3"/>
  <c r="E12" i="3"/>
  <c r="G12" i="3" s="1"/>
  <c r="G22" i="3"/>
  <c r="E3" i="3"/>
  <c r="E8" i="3"/>
  <c r="E4" i="3"/>
  <c r="G4" i="3" s="1"/>
  <c r="E6" i="3"/>
  <c r="G6" i="3" s="1"/>
  <c r="E11" i="3"/>
  <c r="G11" i="3" s="1"/>
  <c r="E10" i="3"/>
  <c r="G10" i="3" s="1"/>
  <c r="E9" i="3"/>
  <c r="G9" i="3" s="1"/>
  <c r="E7" i="3"/>
  <c r="G7" i="3" s="1"/>
  <c r="E17" i="3"/>
  <c r="F20" i="3" s="1"/>
  <c r="G20" i="3" s="1"/>
  <c r="E24" i="2"/>
  <c r="G24" i="2" s="1"/>
  <c r="E23" i="2"/>
  <c r="G23" i="2" s="1"/>
  <c r="E22" i="2"/>
  <c r="G22" i="2" s="1"/>
  <c r="E21" i="2"/>
  <c r="G21" i="2" s="1"/>
  <c r="E20" i="2"/>
  <c r="E19" i="2"/>
  <c r="G19" i="2" s="1"/>
  <c r="E18" i="2"/>
  <c r="G18" i="2" s="1"/>
  <c r="E17" i="2"/>
  <c r="G17" i="2" s="1"/>
  <c r="E16" i="2"/>
  <c r="G16" i="2" s="1"/>
  <c r="E15" i="2"/>
  <c r="G15" i="2" s="1"/>
  <c r="E14" i="2"/>
  <c r="E13" i="2"/>
  <c r="G13" i="2" s="1"/>
  <c r="E12" i="2"/>
  <c r="G12" i="2" s="1"/>
  <c r="E11" i="2"/>
  <c r="G11" i="2" s="1"/>
  <c r="E10" i="2"/>
  <c r="G10" i="2" s="1"/>
  <c r="E9" i="2"/>
  <c r="G9" i="2" s="1"/>
  <c r="E8" i="2"/>
  <c r="E7" i="2"/>
  <c r="G7" i="2" s="1"/>
  <c r="E6" i="2"/>
  <c r="G6" i="2" s="1"/>
  <c r="E5" i="2"/>
  <c r="G5" i="2" s="1"/>
  <c r="E4" i="2"/>
  <c r="G4" i="2" s="1"/>
  <c r="E3" i="2"/>
  <c r="N22" i="3" l="1"/>
  <c r="F14" i="3"/>
  <c r="G14" i="3" s="1"/>
  <c r="F8" i="3"/>
  <c r="G8" i="3" s="1"/>
  <c r="G17" i="3"/>
  <c r="G3" i="3"/>
  <c r="F8" i="2"/>
  <c r="G8" i="2" s="1"/>
  <c r="G3" i="2"/>
  <c r="F14" i="2"/>
  <c r="G14" i="2" s="1"/>
  <c r="F20" i="2"/>
  <c r="G20" i="2" s="1"/>
  <c r="N10" i="3" l="1"/>
  <c r="N4" i="3"/>
</calcChain>
</file>

<file path=xl/sharedStrings.xml><?xml version="1.0" encoding="utf-8"?>
<sst xmlns="http://schemas.openxmlformats.org/spreadsheetml/2006/main" count="66" uniqueCount="54">
  <si>
    <t>Inputs (editable assumptions)</t>
  </si>
  <si>
    <t>Base Salary</t>
  </si>
  <si>
    <t>Base_Annual_Salary</t>
  </si>
  <si>
    <t>Raise_Pct</t>
  </si>
  <si>
    <t>Raise_Effective_Date</t>
  </si>
  <si>
    <t>Bonus</t>
  </si>
  <si>
    <t>Bonus_Pct_PreRaise (through Apr 2027)</t>
  </si>
  <si>
    <t>Bonus_Pct_PostRaise (from May 2027)</t>
  </si>
  <si>
    <t>RSUs</t>
  </si>
  <si>
    <t>RSU_Grant_Value</t>
  </si>
  <si>
    <t>RSU_Grant_Date</t>
  </si>
  <si>
    <t>ESPP</t>
  </si>
  <si>
    <t>ESPP_Contrib_Pct</t>
  </si>
  <si>
    <t>ESPP_Discount</t>
  </si>
  <si>
    <t>Schedule Window</t>
  </si>
  <si>
    <t>Schedule_Start_Month</t>
  </si>
  <si>
    <t>Schedule_End_Month</t>
  </si>
  <si>
    <t>Quarter Performance Multipliers (editable)</t>
  </si>
  <si>
    <t>Quarter Key</t>
  </si>
  <si>
    <t>Quarter</t>
  </si>
  <si>
    <t>Multiplier</t>
  </si>
  <si>
    <t>Q3 2026</t>
  </si>
  <si>
    <t>Q3 2026 (May–Jul 2026)</t>
  </si>
  <si>
    <t>Q4 2026</t>
  </si>
  <si>
    <t>Q4 2026 (Aug–Oct 2026)</t>
  </si>
  <si>
    <t>Q1 2027</t>
  </si>
  <si>
    <t>Q1 2027 (Nov 2026–Jan 2027)</t>
  </si>
  <si>
    <t>Q2 2027</t>
  </si>
  <si>
    <t>Q2 2027 (Feb–Apr 2027)</t>
  </si>
  <si>
    <t>Q3 2027</t>
  </si>
  <si>
    <t>Q3 2027 (May–Jul 2027)</t>
  </si>
  <si>
    <t>Q4 2027</t>
  </si>
  <si>
    <t>Q4 2027 (Aug–Oct 2027)</t>
  </si>
  <si>
    <t>Q1 2028</t>
  </si>
  <si>
    <t>Q1 2028 (Nov 2027–Jan 2028)</t>
  </si>
  <si>
    <t>Q2 2028</t>
  </si>
  <si>
    <t>Q2 2028 (Feb–Apr 2028)</t>
  </si>
  <si>
    <t>Notes</t>
  </si>
  <si>
    <t>• ESPP inflow is now modeled from discount only (sell at same price S): Inflow = Contributions / (1-ESPP_Discount).</t>
  </si>
  <si>
    <t>• Contributions are the sum of 6 monthly deductions (which depend on base salary and the raise).</t>
  </si>
  <si>
    <t>• Quarter multiplier lookup uses hidden quarter keys (e.g., 'Q3 2026') to avoid #N/A.</t>
  </si>
  <si>
    <t>Month</t>
  </si>
  <si>
    <t>Bonus Paid</t>
  </si>
  <si>
    <t>RSU Vest</t>
  </si>
  <si>
    <t>ESPP Deduction</t>
  </si>
  <si>
    <t>ESPP Cash Inflow (Sale)</t>
  </si>
  <si>
    <t>Total Monthly Income</t>
  </si>
  <si>
    <t>RSU Vest Helper (hidden)</t>
  </si>
  <si>
    <t>Grant#</t>
  </si>
  <si>
    <t>Vest Date</t>
  </si>
  <si>
    <t>Vest Value</t>
  </si>
  <si>
    <t>Total Income in 2026</t>
  </si>
  <si>
    <t>Total Income in 2027</t>
  </si>
  <si>
    <t>Total Income in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</si>
</sst>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-"/>
    <numFmt numFmtId="165" formatCode="mmm\ d\,\ yyyy"/>
    <numFmt numFmtId="166" formatCode="mmm\ yyyy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1" xfId="0" applyFont="1" applyBorder="1"/>
    <xf numFmtId="164" fontId="0" fillId="0" borderId="1" xfId="0" applyNumberFormat="1" applyBorder="1"/>
    <xf numFmtId="10" fontId="0" fillId="0" borderId="1" xfId="0" applyNumberFormat="1" applyBorder="1"/>
    <xf numFmtId="165" fontId="0" fillId="0" borderId="1" xfId="0" applyNumberFormat="1" applyBorder="1"/>
    <xf numFmtId="0" fontId="3" fillId="3" borderId="1" xfId="0" applyFont="1" applyFill="1" applyBorder="1"/>
    <xf numFmtId="0" fontId="0" fillId="0" borderId="1" xfId="0" applyBorder="1"/>
    <xf numFmtId="2" fontId="0" fillId="0" borderId="1" xfId="0" applyNumberFormat="1" applyBorder="1"/>
    <xf numFmtId="0" fontId="4" fillId="5" borderId="1" xfId="0" applyFont="1" applyFill="1" applyBorder="1" applyAlignment="1">
      <alignment horizontal="center"/>
    </xf>
    <xf numFmtId="0" fontId="3" fillId="3" borderId="0" xfId="0" applyFont="1" applyFill="1"/>
    <xf numFmtId="166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5" fontId="0" fillId="0" borderId="0" xfId="0" applyNumberFormat="1"/>
    <xf numFmtId="164" fontId="0" fillId="0" borderId="0" xfId="0" applyNumberFormat="1"/>
    <xf numFmtId="0" fontId="2" fillId="2" borderId="0" xfId="0" applyFont="1" applyFill="1" applyAlignment="1">
      <alignment horizontal="left"/>
    </xf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Total Monthly Income (Jul 2026 – Apr 2028)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Schedule'!$G$1</c:f>
              <c:strCache>
                <c:ptCount val="1"/>
                <c:pt idx="0">
                  <c:v>Total Monthly Income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'Monthly Schedule'!$A$3:$A$24</c:f>
              <c:numCache>
                <c:formatCode>mmm\ yyyy</c:formatCode>
                <c:ptCount val="22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  <c:pt idx="6">
                  <c:v>46388</c:v>
                </c:pt>
                <c:pt idx="7">
                  <c:v>46419</c:v>
                </c:pt>
                <c:pt idx="8">
                  <c:v>46447</c:v>
                </c:pt>
                <c:pt idx="9">
                  <c:v>46478</c:v>
                </c:pt>
                <c:pt idx="10">
                  <c:v>46508</c:v>
                </c:pt>
                <c:pt idx="11">
                  <c:v>46539</c:v>
                </c:pt>
                <c:pt idx="12">
                  <c:v>46569</c:v>
                </c:pt>
                <c:pt idx="13">
                  <c:v>46600</c:v>
                </c:pt>
                <c:pt idx="14">
                  <c:v>46631</c:v>
                </c:pt>
                <c:pt idx="15">
                  <c:v>46661</c:v>
                </c:pt>
                <c:pt idx="16">
                  <c:v>46692</c:v>
                </c:pt>
                <c:pt idx="17">
                  <c:v>46722</c:v>
                </c:pt>
                <c:pt idx="18">
                  <c:v>46753</c:v>
                </c:pt>
                <c:pt idx="19">
                  <c:v>46784</c:v>
                </c:pt>
                <c:pt idx="20">
                  <c:v>46813</c:v>
                </c:pt>
                <c:pt idx="21">
                  <c:v>46844</c:v>
                </c:pt>
              </c:numCache>
            </c:numRef>
          </c:cat>
          <c:val>
            <c:numRef>
              <c:f>'Monthly Schedule'!$G$2:$G$24</c:f>
              <c:numCache>
                <c:formatCode>"$"#,##0.00_-</c:formatCode>
                <c:ptCount val="22"/>
                <c:pt idx="0">
                  <c:v>1920</c:v>
                </c:pt>
                <c:pt idx="1">
                  <c:v>1920</c:v>
                </c:pt>
                <c:pt idx="2">
                  <c:v>1920</c:v>
                </c:pt>
                <c:pt idx="3">
                  <c:v>1920</c:v>
                </c:pt>
                <c:pt idx="4">
                  <c:v>1920</c:v>
                </c:pt>
                <c:pt idx="5">
                  <c:v>7888.8</c:v>
                </c:pt>
                <c:pt idx="6">
                  <c:v>1920</c:v>
                </c:pt>
                <c:pt idx="7">
                  <c:v>1920</c:v>
                </c:pt>
                <c:pt idx="8">
                  <c:v>3170</c:v>
                </c:pt>
                <c:pt idx="9">
                  <c:v>1920</c:v>
                </c:pt>
                <c:pt idx="10">
                  <c:v>2112.0000000000005</c:v>
                </c:pt>
                <c:pt idx="11">
                  <c:v>7939.2000000000007</c:v>
                </c:pt>
                <c:pt idx="12">
                  <c:v>2112.0000000000005</c:v>
                </c:pt>
                <c:pt idx="13">
                  <c:v>2112.0000000000005</c:v>
                </c:pt>
                <c:pt idx="14">
                  <c:v>2112.0000000000005</c:v>
                </c:pt>
                <c:pt idx="15">
                  <c:v>2112.0000000000005</c:v>
                </c:pt>
                <c:pt idx="16">
                  <c:v>2112.0000000000005</c:v>
                </c:pt>
                <c:pt idx="17">
                  <c:v>9160.8000000000011</c:v>
                </c:pt>
                <c:pt idx="18">
                  <c:v>2112.0000000000005</c:v>
                </c:pt>
                <c:pt idx="19">
                  <c:v>2112.0000000000005</c:v>
                </c:pt>
                <c:pt idx="20">
                  <c:v>4612</c:v>
                </c:pt>
                <c:pt idx="21">
                  <c:v>2112.0000000000005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69-4FD0-99E9-E361EFC88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mmm\ 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overlay val="1"/>
        </c:title>
        <c:numFmt formatCode="&quot;$&quot;#,##0.00_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Monthly Income (Jul 2026 – Apr 2028)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Schedule Modified'!$G$1</c:f>
              <c:strCache>
                <c:ptCount val="1"/>
                <c:pt idx="0">
                  <c:v>Total Monthly Income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'Monthly Schedule Modified'!$A$3:$A$24</c:f>
              <c:numCache>
                <c:formatCode>mmm\ yyyy</c:formatCode>
                <c:ptCount val="22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  <c:pt idx="6">
                  <c:v>46388</c:v>
                </c:pt>
                <c:pt idx="7">
                  <c:v>46419</c:v>
                </c:pt>
                <c:pt idx="8">
                  <c:v>46447</c:v>
                </c:pt>
                <c:pt idx="9">
                  <c:v>46478</c:v>
                </c:pt>
                <c:pt idx="10">
                  <c:v>46508</c:v>
                </c:pt>
                <c:pt idx="11">
                  <c:v>46539</c:v>
                </c:pt>
                <c:pt idx="12">
                  <c:v>46569</c:v>
                </c:pt>
                <c:pt idx="13">
                  <c:v>46600</c:v>
                </c:pt>
                <c:pt idx="14">
                  <c:v>46631</c:v>
                </c:pt>
                <c:pt idx="15">
                  <c:v>46661</c:v>
                </c:pt>
                <c:pt idx="16">
                  <c:v>46692</c:v>
                </c:pt>
                <c:pt idx="17">
                  <c:v>46722</c:v>
                </c:pt>
                <c:pt idx="18">
                  <c:v>46753</c:v>
                </c:pt>
                <c:pt idx="19">
                  <c:v>46784</c:v>
                </c:pt>
                <c:pt idx="20">
                  <c:v>46813</c:v>
                </c:pt>
                <c:pt idx="21">
                  <c:v>46844</c:v>
                </c:pt>
              </c:numCache>
            </c:numRef>
          </c:cat>
          <c:val>
            <c:numRef>
              <c:f>'Monthly Schedule Modified'!$G$2:$G$24</c:f>
              <c:numCache>
                <c:formatCode>"$"#,##0.00_-</c:formatCode>
                <c:ptCount val="22"/>
                <c:pt idx="0">
                  <c:v>1920</c:v>
                </c:pt>
                <c:pt idx="1">
                  <c:v>1920</c:v>
                </c:pt>
                <c:pt idx="2">
                  <c:v>1920</c:v>
                </c:pt>
                <c:pt idx="3">
                  <c:v>1920</c:v>
                </c:pt>
                <c:pt idx="4">
                  <c:v>1920</c:v>
                </c:pt>
                <c:pt idx="5">
                  <c:v>7888.8</c:v>
                </c:pt>
                <c:pt idx="6">
                  <c:v>1920</c:v>
                </c:pt>
                <c:pt idx="7">
                  <c:v>1920</c:v>
                </c:pt>
                <c:pt idx="8">
                  <c:v>3170</c:v>
                </c:pt>
                <c:pt idx="9">
                  <c:v>1920</c:v>
                </c:pt>
                <c:pt idx="10">
                  <c:v>2112.0000000000005</c:v>
                </c:pt>
                <c:pt idx="11">
                  <c:v>7939.2000000000007</c:v>
                </c:pt>
                <c:pt idx="12">
                  <c:v>2112.0000000000005</c:v>
                </c:pt>
                <c:pt idx="13">
                  <c:v>2112.0000000000005</c:v>
                </c:pt>
                <c:pt idx="14">
                  <c:v>2112.0000000000005</c:v>
                </c:pt>
                <c:pt idx="15">
                  <c:v>2112.0000000000005</c:v>
                </c:pt>
                <c:pt idx="16">
                  <c:v>2112.0000000000005</c:v>
                </c:pt>
                <c:pt idx="17">
                  <c:v>9688.8000000000011</c:v>
                </c:pt>
                <c:pt idx="18">
                  <c:v>2640.0000000000005</c:v>
                </c:pt>
                <c:pt idx="19">
                  <c:v>2640.0000000000005</c:v>
                </c:pt>
                <c:pt idx="20">
                  <c:v>5140</c:v>
                </c:pt>
                <c:pt idx="21">
                  <c:v>2640.0000000000005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5E7-49C5-B0DB-E3DB31287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mmm\ 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overlay val="1"/>
        </c:title>
        <c:numFmt formatCode="&quot;$&quot;#,##0.00_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F9398E-7079-4D19-B69E-C1DFD2B5A6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workbookViewId="0">
      <selection activeCell="B4" sqref="B4"/>
    </sheetView>
  </sheetViews>
  <sheetFormatPr defaultRowHeight="14.4" x14ac:dyDescent="0.3"/>
  <cols>
    <col min="1" max="1" width="42" customWidth="1"/>
    <col min="2" max="2" width="24" customWidth="1"/>
    <col min="3" max="3" width="55" customWidth="1"/>
    <col min="4" max="4" width="13" hidden="1" customWidth="1"/>
    <col min="5" max="5" width="30" customWidth="1"/>
    <col min="6" max="6" width="12" customWidth="1"/>
  </cols>
  <sheetData>
    <row r="1" spans="1:3" ht="18" x14ac:dyDescent="0.35">
      <c r="A1" s="1" t="s">
        <v>0</v>
      </c>
    </row>
    <row r="3" spans="1:3" ht="15.6" x14ac:dyDescent="0.3">
      <c r="A3" s="15" t="s">
        <v>1</v>
      </c>
      <c r="B3" s="16"/>
      <c r="C3" s="16"/>
    </row>
    <row r="4" spans="1:3" x14ac:dyDescent="0.3">
      <c r="A4" s="2" t="s">
        <v>2</v>
      </c>
      <c r="B4" s="3">
        <f>28800</f>
        <v>28800</v>
      </c>
    </row>
    <row r="5" spans="1:3" x14ac:dyDescent="0.3">
      <c r="A5" s="2" t="s">
        <v>3</v>
      </c>
      <c r="B5" s="4">
        <v>0.1</v>
      </c>
    </row>
    <row r="6" spans="1:3" x14ac:dyDescent="0.3">
      <c r="A6" s="2" t="s">
        <v>4</v>
      </c>
      <c r="B6" s="5">
        <v>46508</v>
      </c>
    </row>
    <row r="7" spans="1:3" ht="15.6" x14ac:dyDescent="0.3">
      <c r="A7" s="15" t="s">
        <v>5</v>
      </c>
      <c r="B7" s="16"/>
      <c r="C7" s="16"/>
    </row>
    <row r="8" spans="1:3" x14ac:dyDescent="0.3">
      <c r="A8" s="2" t="s">
        <v>6</v>
      </c>
      <c r="B8" s="4">
        <v>7.0000000000000007E-2</v>
      </c>
    </row>
    <row r="9" spans="1:3" x14ac:dyDescent="0.3">
      <c r="A9" s="2" t="s">
        <v>7</v>
      </c>
      <c r="B9" s="4">
        <v>0.1</v>
      </c>
    </row>
    <row r="10" spans="1:3" ht="15.6" x14ac:dyDescent="0.3">
      <c r="A10" s="15" t="s">
        <v>8</v>
      </c>
      <c r="B10" s="16"/>
      <c r="C10" s="16"/>
    </row>
    <row r="11" spans="1:3" x14ac:dyDescent="0.3">
      <c r="A11" s="2" t="s">
        <v>9</v>
      </c>
      <c r="B11" s="3">
        <v>5000</v>
      </c>
    </row>
    <row r="12" spans="1:3" x14ac:dyDescent="0.3">
      <c r="A12" s="2" t="s">
        <v>10</v>
      </c>
      <c r="B12" s="5">
        <v>46096</v>
      </c>
    </row>
    <row r="13" spans="1:3" ht="15.6" x14ac:dyDescent="0.3">
      <c r="A13" s="15" t="s">
        <v>11</v>
      </c>
      <c r="B13" s="16"/>
      <c r="C13" s="16"/>
    </row>
    <row r="14" spans="1:3" x14ac:dyDescent="0.3">
      <c r="A14" s="2" t="s">
        <v>12</v>
      </c>
      <c r="B14" s="4">
        <v>0.2</v>
      </c>
    </row>
    <row r="15" spans="1:3" x14ac:dyDescent="0.3">
      <c r="A15" s="2" t="s">
        <v>13</v>
      </c>
      <c r="B15" s="4">
        <v>0.2</v>
      </c>
    </row>
    <row r="16" spans="1:3" ht="15.6" x14ac:dyDescent="0.3">
      <c r="A16" s="15" t="s">
        <v>14</v>
      </c>
      <c r="B16" s="16"/>
      <c r="C16" s="16"/>
    </row>
    <row r="17" spans="1:6" x14ac:dyDescent="0.3">
      <c r="A17" s="2" t="s">
        <v>15</v>
      </c>
      <c r="B17" s="5">
        <v>46204</v>
      </c>
    </row>
    <row r="18" spans="1:6" x14ac:dyDescent="0.3">
      <c r="A18" s="2" t="s">
        <v>16</v>
      </c>
      <c r="B18" s="5">
        <v>46844</v>
      </c>
    </row>
    <row r="20" spans="1:6" ht="15.6" x14ac:dyDescent="0.3">
      <c r="D20" s="18" t="s">
        <v>17</v>
      </c>
      <c r="E20" s="16"/>
      <c r="F20" s="16"/>
    </row>
    <row r="21" spans="1:6" x14ac:dyDescent="0.3">
      <c r="D21" s="6" t="s">
        <v>18</v>
      </c>
      <c r="E21" s="6" t="s">
        <v>19</v>
      </c>
      <c r="F21" s="6" t="s">
        <v>20</v>
      </c>
    </row>
    <row r="22" spans="1:6" x14ac:dyDescent="0.3">
      <c r="D22" s="7" t="s">
        <v>21</v>
      </c>
      <c r="E22" s="7" t="s">
        <v>22</v>
      </c>
      <c r="F22" s="8">
        <v>2.4</v>
      </c>
    </row>
    <row r="23" spans="1:6" x14ac:dyDescent="0.3">
      <c r="D23" s="7" t="s">
        <v>23</v>
      </c>
      <c r="E23" s="7" t="s">
        <v>24</v>
      </c>
      <c r="F23" s="8">
        <v>2.2999999999999998</v>
      </c>
    </row>
    <row r="24" spans="1:6" x14ac:dyDescent="0.3">
      <c r="D24" s="7" t="s">
        <v>25</v>
      </c>
      <c r="E24" s="7" t="s">
        <v>26</v>
      </c>
      <c r="F24" s="8">
        <v>2.2000000000000002</v>
      </c>
    </row>
    <row r="25" spans="1:6" x14ac:dyDescent="0.3">
      <c r="D25" s="7" t="s">
        <v>27</v>
      </c>
      <c r="E25" s="7" t="s">
        <v>28</v>
      </c>
      <c r="F25" s="8">
        <v>2.1</v>
      </c>
    </row>
    <row r="26" spans="1:6" x14ac:dyDescent="0.3">
      <c r="D26" s="7" t="s">
        <v>29</v>
      </c>
      <c r="E26" s="7" t="s">
        <v>30</v>
      </c>
      <c r="F26" s="8">
        <v>2</v>
      </c>
    </row>
    <row r="27" spans="1:6" x14ac:dyDescent="0.3">
      <c r="D27" s="7" t="s">
        <v>31</v>
      </c>
      <c r="E27" s="7" t="s">
        <v>32</v>
      </c>
      <c r="F27" s="8">
        <v>1.9</v>
      </c>
    </row>
    <row r="28" spans="1:6" x14ac:dyDescent="0.3">
      <c r="D28" s="7" t="s">
        <v>33</v>
      </c>
      <c r="E28" s="7" t="s">
        <v>34</v>
      </c>
      <c r="F28" s="8">
        <v>1.85</v>
      </c>
    </row>
    <row r="29" spans="1:6" x14ac:dyDescent="0.3">
      <c r="D29" s="7" t="s">
        <v>35</v>
      </c>
      <c r="E29" s="7" t="s">
        <v>36</v>
      </c>
      <c r="F29" s="8">
        <v>1.8</v>
      </c>
    </row>
    <row r="32" spans="1:6" ht="15.6" x14ac:dyDescent="0.3">
      <c r="A32" s="19" t="s">
        <v>37</v>
      </c>
      <c r="B32" s="16"/>
      <c r="C32" s="16"/>
    </row>
    <row r="33" spans="1:3" x14ac:dyDescent="0.3">
      <c r="A33" s="17" t="s">
        <v>38</v>
      </c>
      <c r="B33" s="16"/>
      <c r="C33" s="16"/>
    </row>
    <row r="34" spans="1:3" x14ac:dyDescent="0.3">
      <c r="A34" s="17" t="s">
        <v>39</v>
      </c>
      <c r="B34" s="16"/>
      <c r="C34" s="16"/>
    </row>
    <row r="35" spans="1:3" x14ac:dyDescent="0.3">
      <c r="A35" s="17" t="s">
        <v>40</v>
      </c>
      <c r="B35" s="16"/>
      <c r="C35" s="16"/>
    </row>
  </sheetData>
  <mergeCells count="10">
    <mergeCell ref="A3:C3"/>
    <mergeCell ref="A34:C34"/>
    <mergeCell ref="A35:C35"/>
    <mergeCell ref="A7:C7"/>
    <mergeCell ref="D20:F20"/>
    <mergeCell ref="A16:C16"/>
    <mergeCell ref="A10:C10"/>
    <mergeCell ref="A13:C13"/>
    <mergeCell ref="A33:C33"/>
    <mergeCell ref="A32:C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zoomScale="115" zoomScaleNormal="115" workbookViewId="0">
      <pane ySplit="1" topLeftCell="A3" activePane="bottomLeft" state="frozen"/>
      <selection pane="bottomLeft" activeCell="O10" sqref="O10"/>
    </sheetView>
  </sheetViews>
  <sheetFormatPr defaultRowHeight="14.4" x14ac:dyDescent="0.3"/>
  <cols>
    <col min="1" max="1" width="9.33203125" bestFit="1" customWidth="1"/>
    <col min="2" max="2" width="10.44140625" bestFit="1" customWidth="1"/>
    <col min="3" max="3" width="10.33203125" bestFit="1" customWidth="1"/>
    <col min="4" max="4" width="9.88671875" bestFit="1" customWidth="1"/>
    <col min="5" max="5" width="14.44140625" bestFit="1" customWidth="1"/>
    <col min="6" max="6" width="20.88671875" bestFit="1" customWidth="1"/>
    <col min="7" max="7" width="19.88671875" bestFit="1" customWidth="1"/>
    <col min="9" max="12" width="13" hidden="1" customWidth="1"/>
    <col min="14" max="14" width="19.88671875" bestFit="1" customWidth="1"/>
    <col min="15" max="16" width="18.77734375" bestFit="1" customWidth="1"/>
  </cols>
  <sheetData>
    <row r="1" spans="1:12" x14ac:dyDescent="0.3">
      <c r="A1" s="9" t="s">
        <v>41</v>
      </c>
      <c r="B1" s="9" t="s">
        <v>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I1" t="s">
        <v>47</v>
      </c>
      <c r="J1" s="10" t="s">
        <v>48</v>
      </c>
      <c r="K1" s="10" t="s">
        <v>49</v>
      </c>
      <c r="L1" s="10" t="s">
        <v>50</v>
      </c>
    </row>
    <row r="2" spans="1:12" hidden="1" x14ac:dyDescent="0.3">
      <c r="A2" s="11">
        <v>46174</v>
      </c>
      <c r="B2" s="12">
        <f t="shared" ref="B2:B24" si="0">IF($A2&gt;=Raise_Effective_Date, Base_Annual_Salary*(1+Raise_Pct)/12, Base_Annual_Salary/12)</f>
        <v>2400</v>
      </c>
      <c r="C2" s="12">
        <f t="shared" ref="C2:C24" si="1">IF(AND(YEAR($A2)=2026,MONTH($A2)=6),0,IF(MONTH($A2)=6,3*(INDEX(QuarterMult_Range, MATCH("Q1 "&amp;YEAR($A2), QuarterKey_Range, 0))*IF(DATE(YEAR($A2)-1,11,1)&gt;=Raise_Effective_Date, Base_Annual_Salary*(1+Raise_Pct)/12, Base_Annual_Salary/12)*IF(DATE(YEAR($A2)-1,11,1)&gt;=Raise_Effective_Date, Bonus_Pct_Post, Bonus_Pct_Pre) + INDEX(QuarterMult_Range, MATCH("Q2 "&amp;YEAR($A2), QuarterKey_Range, 0))*IF(DATE(YEAR($A2),2,1)&gt;=Raise_Effective_Date, Base_Annual_Salary*(1+Raise_Pct)/12, Base_Annual_Salary/12)*IF(DATE(YEAR($A2),2,1)&gt;=Raise_Effective_Date, Bonus_Pct_Post, Bonus_Pct_Pre)),IF(MONTH($A2)=12,3*(INDEX(QuarterMult_Range, MATCH("Q3 "&amp;YEAR($A2), QuarterKey_Range, 0))*IF(DATE(YEAR($A2),5,1)&gt;=Raise_Effective_Date, Base_Annual_Salary*(1+Raise_Pct)/12, Base_Annual_Salary/12)*IF(DATE(YEAR($A2),5,1)&gt;=Raise_Effective_Date, Bonus_Pct_Post, Bonus_Pct_Pre) + INDEX(QuarterMult_Range, MATCH("Q4 "&amp;YEAR($A2), QuarterKey_Range, 0))*IF(DATE(YEAR($A2),8,1)&gt;=Raise_Effective_Date, Base_Annual_Salary*(1+Raise_Pct)/12, Base_Annual_Salary/12)*IF(DATE(YEAR($A2),8,1)&gt;=Raise_Effective_Date, Bonus_Pct_Post, Bonus_Pct_Pre)),0)))</f>
        <v>0</v>
      </c>
      <c r="D2" s="12">
        <f t="shared" ref="D2:D24" si="2">SUMIFS($L$2:$L$21,$K$2:$K$21,"&gt;="&amp;$A2,$K$2:$K$21,"&lt;"&amp;EDATE($A2,1))</f>
        <v>0</v>
      </c>
      <c r="E2" s="12">
        <f t="shared" ref="E2:E24" si="3">-B2*ESPP_Contrib_Pct</f>
        <v>-480</v>
      </c>
      <c r="F2" s="12">
        <f t="shared" ref="F2:F24" si="4">IF(MONTH($A2)=12,(-SUMIFS($E$2:$E$24,$A$2:$A$24,"&gt;="&amp;DATE(YEAR($A2),6,1),$A$2:$A$24,"&lt;="&amp;DATE(YEAR($A2),11,1)))/(1-ESPP_Discount),IF(MONTH($A2)=6,(-SUMIFS($E$2:$E$24,$A$2:$A$24,"&gt;="&amp;DATE(YEAR($A2)-1,12,1),$A$2:$A$24,"&lt;="&amp;DATE(YEAR($A2),5,1)))/(1-ESPP_Discount),0))</f>
        <v>0</v>
      </c>
      <c r="G2" s="12">
        <f t="shared" ref="G2:G24" si="5">SUM(B2:F2)</f>
        <v>1920</v>
      </c>
      <c r="J2">
        <v>1</v>
      </c>
      <c r="K2" s="13">
        <f>EDATE(RSU_Grant_Date,12)</f>
        <v>46461</v>
      </c>
      <c r="L2" s="14">
        <f t="shared" ref="L2:L21" si="6">RSU_Grant_Value/4</f>
        <v>1250</v>
      </c>
    </row>
    <row r="3" spans="1:12" x14ac:dyDescent="0.3">
      <c r="A3" s="11">
        <f>EDATE($A$2,1)</f>
        <v>46204</v>
      </c>
      <c r="B3" s="12">
        <f t="shared" si="0"/>
        <v>2400</v>
      </c>
      <c r="C3" s="12">
        <f t="shared" si="1"/>
        <v>0</v>
      </c>
      <c r="D3" s="12">
        <f t="shared" si="2"/>
        <v>0</v>
      </c>
      <c r="E3" s="12">
        <f t="shared" si="3"/>
        <v>-480</v>
      </c>
      <c r="F3" s="12">
        <f t="shared" si="4"/>
        <v>0</v>
      </c>
      <c r="G3" s="12">
        <f t="shared" si="5"/>
        <v>1920</v>
      </c>
      <c r="J3">
        <v>1</v>
      </c>
      <c r="K3" s="13">
        <f>EDATE(RSU_Grant_Date,24)</f>
        <v>46827</v>
      </c>
      <c r="L3" s="14">
        <f t="shared" si="6"/>
        <v>1250</v>
      </c>
    </row>
    <row r="4" spans="1:12" x14ac:dyDescent="0.3">
      <c r="A4" s="11">
        <f>EDATE($A$2,2)</f>
        <v>46235</v>
      </c>
      <c r="B4" s="12">
        <f t="shared" si="0"/>
        <v>2400</v>
      </c>
      <c r="C4" s="12">
        <f t="shared" si="1"/>
        <v>0</v>
      </c>
      <c r="D4" s="12">
        <f t="shared" si="2"/>
        <v>0</v>
      </c>
      <c r="E4" s="12">
        <f t="shared" si="3"/>
        <v>-480</v>
      </c>
      <c r="F4" s="12">
        <f t="shared" si="4"/>
        <v>0</v>
      </c>
      <c r="G4" s="12">
        <f t="shared" si="5"/>
        <v>1920</v>
      </c>
      <c r="J4">
        <v>1</v>
      </c>
      <c r="K4" s="13">
        <f>EDATE(RSU_Grant_Date,36)</f>
        <v>47192</v>
      </c>
      <c r="L4" s="14">
        <f t="shared" si="6"/>
        <v>1250</v>
      </c>
    </row>
    <row r="5" spans="1:12" x14ac:dyDescent="0.3">
      <c r="A5" s="11">
        <f>EDATE($A$2,3)</f>
        <v>46266</v>
      </c>
      <c r="B5" s="12">
        <f t="shared" si="0"/>
        <v>2400</v>
      </c>
      <c r="C5" s="12">
        <f t="shared" si="1"/>
        <v>0</v>
      </c>
      <c r="D5" s="12">
        <f t="shared" si="2"/>
        <v>0</v>
      </c>
      <c r="E5" s="12">
        <f t="shared" si="3"/>
        <v>-480</v>
      </c>
      <c r="F5" s="12">
        <f t="shared" si="4"/>
        <v>0</v>
      </c>
      <c r="G5" s="12">
        <f t="shared" si="5"/>
        <v>1920</v>
      </c>
      <c r="J5">
        <v>1</v>
      </c>
      <c r="K5" s="13">
        <f>EDATE(RSU_Grant_Date,48)</f>
        <v>47557</v>
      </c>
      <c r="L5" s="14">
        <f t="shared" si="6"/>
        <v>1250</v>
      </c>
    </row>
    <row r="6" spans="1:12" x14ac:dyDescent="0.3">
      <c r="A6" s="11">
        <f>EDATE($A$2,4)</f>
        <v>46296</v>
      </c>
      <c r="B6" s="12">
        <f t="shared" si="0"/>
        <v>2400</v>
      </c>
      <c r="C6" s="12">
        <f t="shared" si="1"/>
        <v>0</v>
      </c>
      <c r="D6" s="12">
        <f t="shared" si="2"/>
        <v>0</v>
      </c>
      <c r="E6" s="12">
        <f t="shared" si="3"/>
        <v>-480</v>
      </c>
      <c r="F6" s="12">
        <f t="shared" si="4"/>
        <v>0</v>
      </c>
      <c r="G6" s="12">
        <f t="shared" si="5"/>
        <v>1920</v>
      </c>
      <c r="J6">
        <v>2</v>
      </c>
      <c r="K6" s="13">
        <f>EDATE(RSU_Grant_Date,24)</f>
        <v>46827</v>
      </c>
      <c r="L6" s="14">
        <f t="shared" si="6"/>
        <v>1250</v>
      </c>
    </row>
    <row r="7" spans="1:12" x14ac:dyDescent="0.3">
      <c r="A7" s="11">
        <f>EDATE($A$2,5)</f>
        <v>46327</v>
      </c>
      <c r="B7" s="12">
        <f t="shared" si="0"/>
        <v>2400</v>
      </c>
      <c r="C7" s="12">
        <f t="shared" si="1"/>
        <v>0</v>
      </c>
      <c r="D7" s="12">
        <f t="shared" si="2"/>
        <v>0</v>
      </c>
      <c r="E7" s="12">
        <f t="shared" si="3"/>
        <v>-480</v>
      </c>
      <c r="F7" s="12">
        <f t="shared" si="4"/>
        <v>0</v>
      </c>
      <c r="G7" s="12">
        <f t="shared" si="5"/>
        <v>1920</v>
      </c>
      <c r="J7">
        <v>2</v>
      </c>
      <c r="K7" s="13">
        <f>EDATE(RSU_Grant_Date,36)</f>
        <v>47192</v>
      </c>
      <c r="L7" s="14">
        <f t="shared" si="6"/>
        <v>1250</v>
      </c>
    </row>
    <row r="8" spans="1:12" x14ac:dyDescent="0.3">
      <c r="A8" s="11">
        <f>EDATE($A$2,6)</f>
        <v>46357</v>
      </c>
      <c r="B8" s="12">
        <f t="shared" si="0"/>
        <v>2400</v>
      </c>
      <c r="C8" s="12">
        <f t="shared" si="1"/>
        <v>2368.8000000000002</v>
      </c>
      <c r="D8" s="12">
        <f t="shared" si="2"/>
        <v>0</v>
      </c>
      <c r="E8" s="12">
        <f t="shared" si="3"/>
        <v>-480</v>
      </c>
      <c r="F8" s="12">
        <f t="shared" si="4"/>
        <v>3600</v>
      </c>
      <c r="G8" s="12">
        <f t="shared" si="5"/>
        <v>7888.8</v>
      </c>
      <c r="J8">
        <v>2</v>
      </c>
      <c r="K8" s="13">
        <f>EDATE(RSU_Grant_Date,48)</f>
        <v>47557</v>
      </c>
      <c r="L8" s="14">
        <f t="shared" si="6"/>
        <v>1250</v>
      </c>
    </row>
    <row r="9" spans="1:12" x14ac:dyDescent="0.3">
      <c r="A9" s="11">
        <f>EDATE($A$2,7)</f>
        <v>46388</v>
      </c>
      <c r="B9" s="12">
        <f t="shared" si="0"/>
        <v>2400</v>
      </c>
      <c r="C9" s="12">
        <f t="shared" si="1"/>
        <v>0</v>
      </c>
      <c r="D9" s="12">
        <f t="shared" si="2"/>
        <v>0</v>
      </c>
      <c r="E9" s="12">
        <f t="shared" si="3"/>
        <v>-480</v>
      </c>
      <c r="F9" s="12">
        <f t="shared" si="4"/>
        <v>0</v>
      </c>
      <c r="G9" s="12">
        <f t="shared" si="5"/>
        <v>1920</v>
      </c>
      <c r="J9">
        <v>2</v>
      </c>
      <c r="K9" s="13">
        <f>EDATE(RSU_Grant_Date,60)</f>
        <v>47922</v>
      </c>
      <c r="L9" s="14">
        <f t="shared" si="6"/>
        <v>1250</v>
      </c>
    </row>
    <row r="10" spans="1:12" x14ac:dyDescent="0.3">
      <c r="A10" s="11">
        <f>EDATE($A$2,8)</f>
        <v>46419</v>
      </c>
      <c r="B10" s="12">
        <f t="shared" si="0"/>
        <v>2400</v>
      </c>
      <c r="C10" s="12">
        <f t="shared" si="1"/>
        <v>0</v>
      </c>
      <c r="D10" s="12">
        <f t="shared" si="2"/>
        <v>0</v>
      </c>
      <c r="E10" s="12">
        <f t="shared" si="3"/>
        <v>-480</v>
      </c>
      <c r="F10" s="12">
        <f t="shared" si="4"/>
        <v>0</v>
      </c>
      <c r="G10" s="12">
        <f t="shared" si="5"/>
        <v>1920</v>
      </c>
      <c r="J10">
        <v>3</v>
      </c>
      <c r="K10" s="13">
        <f>EDATE(RSU_Grant_Date,36)</f>
        <v>47192</v>
      </c>
      <c r="L10" s="14">
        <f t="shared" si="6"/>
        <v>1250</v>
      </c>
    </row>
    <row r="11" spans="1:12" x14ac:dyDescent="0.3">
      <c r="A11" s="11">
        <f>EDATE($A$2,9)</f>
        <v>46447</v>
      </c>
      <c r="B11" s="12">
        <f t="shared" si="0"/>
        <v>2400</v>
      </c>
      <c r="C11" s="12">
        <f t="shared" si="1"/>
        <v>0</v>
      </c>
      <c r="D11" s="12">
        <f t="shared" si="2"/>
        <v>1250</v>
      </c>
      <c r="E11" s="12">
        <f t="shared" si="3"/>
        <v>-480</v>
      </c>
      <c r="F11" s="12">
        <f t="shared" si="4"/>
        <v>0</v>
      </c>
      <c r="G11" s="12">
        <f t="shared" si="5"/>
        <v>3170</v>
      </c>
      <c r="J11">
        <v>3</v>
      </c>
      <c r="K11" s="13">
        <f>EDATE(RSU_Grant_Date,48)</f>
        <v>47557</v>
      </c>
      <c r="L11" s="14">
        <f t="shared" si="6"/>
        <v>1250</v>
      </c>
    </row>
    <row r="12" spans="1:12" x14ac:dyDescent="0.3">
      <c r="A12" s="11">
        <f>EDATE($A$2,10)</f>
        <v>46478</v>
      </c>
      <c r="B12" s="12">
        <f t="shared" si="0"/>
        <v>2400</v>
      </c>
      <c r="C12" s="12">
        <f t="shared" si="1"/>
        <v>0</v>
      </c>
      <c r="D12" s="12">
        <f t="shared" si="2"/>
        <v>0</v>
      </c>
      <c r="E12" s="12">
        <f t="shared" si="3"/>
        <v>-480</v>
      </c>
      <c r="F12" s="12">
        <f t="shared" si="4"/>
        <v>0</v>
      </c>
      <c r="G12" s="12">
        <f t="shared" si="5"/>
        <v>1920</v>
      </c>
      <c r="J12">
        <v>3</v>
      </c>
      <c r="K12" s="13">
        <f>EDATE(RSU_Grant_Date,60)</f>
        <v>47922</v>
      </c>
      <c r="L12" s="14">
        <f t="shared" si="6"/>
        <v>1250</v>
      </c>
    </row>
    <row r="13" spans="1:12" x14ac:dyDescent="0.3">
      <c r="A13" s="11">
        <f>EDATE($A$2,11)</f>
        <v>46508</v>
      </c>
      <c r="B13" s="12">
        <f t="shared" si="0"/>
        <v>2640.0000000000005</v>
      </c>
      <c r="C13" s="12">
        <f t="shared" si="1"/>
        <v>0</v>
      </c>
      <c r="D13" s="12">
        <f t="shared" si="2"/>
        <v>0</v>
      </c>
      <c r="E13" s="12">
        <f t="shared" si="3"/>
        <v>-528.00000000000011</v>
      </c>
      <c r="F13" s="12">
        <f t="shared" si="4"/>
        <v>0</v>
      </c>
      <c r="G13" s="12">
        <f t="shared" si="5"/>
        <v>2112.0000000000005</v>
      </c>
      <c r="J13">
        <v>3</v>
      </c>
      <c r="K13" s="13">
        <f>EDATE(RSU_Grant_Date,72)</f>
        <v>48288</v>
      </c>
      <c r="L13" s="14">
        <f t="shared" si="6"/>
        <v>1250</v>
      </c>
    </row>
    <row r="14" spans="1:12" x14ac:dyDescent="0.3">
      <c r="A14" s="11">
        <f>EDATE($A$2,12)</f>
        <v>46539</v>
      </c>
      <c r="B14" s="12">
        <f t="shared" si="0"/>
        <v>2640.0000000000005</v>
      </c>
      <c r="C14" s="12">
        <f t="shared" si="1"/>
        <v>2167.2000000000003</v>
      </c>
      <c r="D14" s="12">
        <f t="shared" si="2"/>
        <v>0</v>
      </c>
      <c r="E14" s="12">
        <f t="shared" si="3"/>
        <v>-528.00000000000011</v>
      </c>
      <c r="F14" s="12">
        <f t="shared" si="4"/>
        <v>3660</v>
      </c>
      <c r="G14" s="12">
        <f t="shared" si="5"/>
        <v>7939.2000000000007</v>
      </c>
      <c r="J14">
        <v>4</v>
      </c>
      <c r="K14" s="13">
        <f>EDATE(RSU_Grant_Date,48)</f>
        <v>47557</v>
      </c>
      <c r="L14" s="14">
        <f t="shared" si="6"/>
        <v>1250</v>
      </c>
    </row>
    <row r="15" spans="1:12" x14ac:dyDescent="0.3">
      <c r="A15" s="11">
        <f>EDATE($A$2,13)</f>
        <v>46569</v>
      </c>
      <c r="B15" s="12">
        <f t="shared" si="0"/>
        <v>2640.0000000000005</v>
      </c>
      <c r="C15" s="12">
        <f t="shared" si="1"/>
        <v>0</v>
      </c>
      <c r="D15" s="12">
        <f t="shared" si="2"/>
        <v>0</v>
      </c>
      <c r="E15" s="12">
        <f t="shared" si="3"/>
        <v>-528.00000000000011</v>
      </c>
      <c r="F15" s="12">
        <f t="shared" si="4"/>
        <v>0</v>
      </c>
      <c r="G15" s="12">
        <f t="shared" si="5"/>
        <v>2112.0000000000005</v>
      </c>
      <c r="J15">
        <v>4</v>
      </c>
      <c r="K15" s="13">
        <f>EDATE(RSU_Grant_Date,60)</f>
        <v>47922</v>
      </c>
      <c r="L15" s="14">
        <f t="shared" si="6"/>
        <v>1250</v>
      </c>
    </row>
    <row r="16" spans="1:12" x14ac:dyDescent="0.3">
      <c r="A16" s="11">
        <f>EDATE($A$2,14)</f>
        <v>46600</v>
      </c>
      <c r="B16" s="12">
        <f t="shared" si="0"/>
        <v>2640.0000000000005</v>
      </c>
      <c r="C16" s="12">
        <f t="shared" si="1"/>
        <v>0</v>
      </c>
      <c r="D16" s="12">
        <f t="shared" si="2"/>
        <v>0</v>
      </c>
      <c r="E16" s="12">
        <f t="shared" si="3"/>
        <v>-528.00000000000011</v>
      </c>
      <c r="F16" s="12">
        <f t="shared" si="4"/>
        <v>0</v>
      </c>
      <c r="G16" s="12">
        <f t="shared" si="5"/>
        <v>2112.0000000000005</v>
      </c>
      <c r="J16">
        <v>4</v>
      </c>
      <c r="K16" s="13">
        <f>EDATE(RSU_Grant_Date,72)</f>
        <v>48288</v>
      </c>
      <c r="L16" s="14">
        <f t="shared" si="6"/>
        <v>1250</v>
      </c>
    </row>
    <row r="17" spans="1:12" x14ac:dyDescent="0.3">
      <c r="A17" s="11">
        <f>EDATE($A$2,15)</f>
        <v>46631</v>
      </c>
      <c r="B17" s="12">
        <f t="shared" si="0"/>
        <v>2640.0000000000005</v>
      </c>
      <c r="C17" s="12">
        <f t="shared" si="1"/>
        <v>0</v>
      </c>
      <c r="D17" s="12">
        <f t="shared" si="2"/>
        <v>0</v>
      </c>
      <c r="E17" s="12">
        <f t="shared" si="3"/>
        <v>-528.00000000000011</v>
      </c>
      <c r="F17" s="12">
        <f t="shared" si="4"/>
        <v>0</v>
      </c>
      <c r="G17" s="12">
        <f t="shared" si="5"/>
        <v>2112.0000000000005</v>
      </c>
      <c r="J17">
        <v>4</v>
      </c>
      <c r="K17" s="13">
        <f>EDATE(RSU_Grant_Date,84)</f>
        <v>48653</v>
      </c>
      <c r="L17" s="14">
        <f t="shared" si="6"/>
        <v>1250</v>
      </c>
    </row>
    <row r="18" spans="1:12" x14ac:dyDescent="0.3">
      <c r="A18" s="11">
        <f>EDATE($A$2,16)</f>
        <v>46661</v>
      </c>
      <c r="B18" s="12">
        <f t="shared" si="0"/>
        <v>2640.0000000000005</v>
      </c>
      <c r="C18" s="12">
        <f t="shared" si="1"/>
        <v>0</v>
      </c>
      <c r="D18" s="12">
        <f t="shared" si="2"/>
        <v>0</v>
      </c>
      <c r="E18" s="12">
        <f t="shared" si="3"/>
        <v>-528.00000000000011</v>
      </c>
      <c r="F18" s="12">
        <f t="shared" si="4"/>
        <v>0</v>
      </c>
      <c r="G18" s="12">
        <f t="shared" si="5"/>
        <v>2112.0000000000005</v>
      </c>
      <c r="J18">
        <v>5</v>
      </c>
      <c r="K18" s="13">
        <f>EDATE(RSU_Grant_Date,60)</f>
        <v>47922</v>
      </c>
      <c r="L18" s="14">
        <f t="shared" si="6"/>
        <v>1250</v>
      </c>
    </row>
    <row r="19" spans="1:12" x14ac:dyDescent="0.3">
      <c r="A19" s="11">
        <f>EDATE($A$2,17)</f>
        <v>46692</v>
      </c>
      <c r="B19" s="12">
        <f t="shared" si="0"/>
        <v>2640.0000000000005</v>
      </c>
      <c r="C19" s="12">
        <f t="shared" si="1"/>
        <v>0</v>
      </c>
      <c r="D19" s="12">
        <f t="shared" si="2"/>
        <v>0</v>
      </c>
      <c r="E19" s="12">
        <f t="shared" si="3"/>
        <v>-528.00000000000011</v>
      </c>
      <c r="F19" s="12">
        <f t="shared" si="4"/>
        <v>0</v>
      </c>
      <c r="G19" s="12">
        <f t="shared" si="5"/>
        <v>2112.0000000000005</v>
      </c>
      <c r="J19">
        <v>5</v>
      </c>
      <c r="K19" s="13">
        <f>EDATE(RSU_Grant_Date,72)</f>
        <v>48288</v>
      </c>
      <c r="L19" s="14">
        <f t="shared" si="6"/>
        <v>1250</v>
      </c>
    </row>
    <row r="20" spans="1:12" x14ac:dyDescent="0.3">
      <c r="A20" s="11">
        <f>EDATE($A$2,18)</f>
        <v>46722</v>
      </c>
      <c r="B20" s="12">
        <f t="shared" si="0"/>
        <v>2640.0000000000005</v>
      </c>
      <c r="C20" s="12">
        <f t="shared" si="1"/>
        <v>3088.8000000000011</v>
      </c>
      <c r="D20" s="12">
        <f t="shared" si="2"/>
        <v>0</v>
      </c>
      <c r="E20" s="12">
        <f t="shared" si="3"/>
        <v>-528.00000000000011</v>
      </c>
      <c r="F20" s="12">
        <f t="shared" si="4"/>
        <v>3960.0000000000005</v>
      </c>
      <c r="G20" s="12">
        <f t="shared" si="5"/>
        <v>9160.8000000000011</v>
      </c>
      <c r="J20">
        <v>5</v>
      </c>
      <c r="K20" s="13">
        <f>EDATE(RSU_Grant_Date,84)</f>
        <v>48653</v>
      </c>
      <c r="L20" s="14">
        <f t="shared" si="6"/>
        <v>1250</v>
      </c>
    </row>
    <row r="21" spans="1:12" x14ac:dyDescent="0.3">
      <c r="A21" s="11">
        <f>EDATE($A$2,19)</f>
        <v>46753</v>
      </c>
      <c r="B21" s="12">
        <f t="shared" si="0"/>
        <v>2640.0000000000005</v>
      </c>
      <c r="C21" s="12">
        <f t="shared" si="1"/>
        <v>0</v>
      </c>
      <c r="D21" s="12">
        <f t="shared" si="2"/>
        <v>0</v>
      </c>
      <c r="E21" s="12">
        <f t="shared" si="3"/>
        <v>-528.00000000000011</v>
      </c>
      <c r="F21" s="12">
        <f t="shared" si="4"/>
        <v>0</v>
      </c>
      <c r="G21" s="12">
        <f t="shared" si="5"/>
        <v>2112.0000000000005</v>
      </c>
      <c r="J21">
        <v>5</v>
      </c>
      <c r="K21" s="13">
        <f>EDATE(RSU_Grant_Date,96)</f>
        <v>49018</v>
      </c>
      <c r="L21" s="14">
        <f t="shared" si="6"/>
        <v>1250</v>
      </c>
    </row>
    <row r="22" spans="1:12" x14ac:dyDescent="0.3">
      <c r="A22" s="11">
        <f>EDATE($A$2,20)</f>
        <v>46784</v>
      </c>
      <c r="B22" s="12">
        <f t="shared" si="0"/>
        <v>2640.0000000000005</v>
      </c>
      <c r="C22" s="12">
        <f t="shared" si="1"/>
        <v>0</v>
      </c>
      <c r="D22" s="12">
        <f t="shared" si="2"/>
        <v>0</v>
      </c>
      <c r="E22" s="12">
        <f t="shared" si="3"/>
        <v>-528.00000000000011</v>
      </c>
      <c r="F22" s="12">
        <f t="shared" si="4"/>
        <v>0</v>
      </c>
      <c r="G22" s="12">
        <f t="shared" si="5"/>
        <v>2112.0000000000005</v>
      </c>
    </row>
    <row r="23" spans="1:12" x14ac:dyDescent="0.3">
      <c r="A23" s="11">
        <f>EDATE($A$2,21)</f>
        <v>46813</v>
      </c>
      <c r="B23" s="12">
        <f t="shared" si="0"/>
        <v>2640.0000000000005</v>
      </c>
      <c r="C23" s="12">
        <f t="shared" si="1"/>
        <v>0</v>
      </c>
      <c r="D23" s="12">
        <f t="shared" si="2"/>
        <v>2500</v>
      </c>
      <c r="E23" s="12">
        <f t="shared" si="3"/>
        <v>-528.00000000000011</v>
      </c>
      <c r="F23" s="12">
        <f t="shared" si="4"/>
        <v>0</v>
      </c>
      <c r="G23" s="12">
        <f t="shared" si="5"/>
        <v>4612</v>
      </c>
    </row>
    <row r="24" spans="1:12" x14ac:dyDescent="0.3">
      <c r="A24" s="11">
        <f>EDATE($A$2,22)</f>
        <v>46844</v>
      </c>
      <c r="B24" s="12">
        <f t="shared" si="0"/>
        <v>2640.0000000000005</v>
      </c>
      <c r="C24" s="12">
        <f t="shared" si="1"/>
        <v>0</v>
      </c>
      <c r="D24" s="12">
        <f t="shared" si="2"/>
        <v>0</v>
      </c>
      <c r="E24" s="12">
        <f t="shared" si="3"/>
        <v>-528.00000000000011</v>
      </c>
      <c r="F24" s="12">
        <f t="shared" si="4"/>
        <v>0</v>
      </c>
      <c r="G24" s="12">
        <f t="shared" si="5"/>
        <v>2112.0000000000005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2012-0188-42B1-BD0D-861DB3C5EA1D}">
  <dimension ref="A1:N24"/>
  <sheetViews>
    <sheetView tabSelected="1" zoomScale="145" zoomScaleNormal="145" workbookViewId="0">
      <pane ySplit="1" topLeftCell="A3" activePane="bottomLeft" state="frozen"/>
      <selection pane="bottomLeft" activeCell="P27" sqref="P27"/>
    </sheetView>
  </sheetViews>
  <sheetFormatPr defaultRowHeight="14.4" x14ac:dyDescent="0.3"/>
  <cols>
    <col min="1" max="1" width="9.33203125" bestFit="1" customWidth="1"/>
    <col min="2" max="2" width="10.44140625" bestFit="1" customWidth="1"/>
    <col min="3" max="3" width="10.33203125" bestFit="1" customWidth="1"/>
    <col min="4" max="4" width="9.88671875" bestFit="1" customWidth="1"/>
    <col min="5" max="5" width="14.44140625" bestFit="1" customWidth="1"/>
    <col min="6" max="6" width="20.88671875" bestFit="1" customWidth="1"/>
    <col min="7" max="7" width="19.88671875" bestFit="1" customWidth="1"/>
    <col min="9" max="12" width="13" hidden="1" customWidth="1"/>
    <col min="14" max="14" width="19.88671875" bestFit="1" customWidth="1"/>
    <col min="15" max="16" width="18.77734375" bestFit="1" customWidth="1"/>
  </cols>
  <sheetData>
    <row r="1" spans="1:14" x14ac:dyDescent="0.3">
      <c r="A1" s="9" t="s">
        <v>41</v>
      </c>
      <c r="B1" s="9" t="s">
        <v>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I1" t="s">
        <v>47</v>
      </c>
      <c r="J1" s="10" t="s">
        <v>48</v>
      </c>
      <c r="K1" s="10" t="s">
        <v>49</v>
      </c>
      <c r="L1" s="10" t="s">
        <v>50</v>
      </c>
    </row>
    <row r="2" spans="1:14" hidden="1" x14ac:dyDescent="0.3">
      <c r="A2" s="11">
        <v>46174</v>
      </c>
      <c r="B2" s="12">
        <f t="shared" ref="B2:B24" si="0">IF($A2&gt;=Raise_Effective_Date, Base_Annual_Salary*(1+Raise_Pct)/12, Base_Annual_Salary/12)</f>
        <v>2400</v>
      </c>
      <c r="C2" s="12">
        <f t="shared" ref="C2:C24" si="1">IF(AND(YEAR($A2)=2026,MONTH($A2)=6),0,IF(MONTH($A2)=6,3*(INDEX(QuarterMult_Range, MATCH("Q1 "&amp;YEAR($A2), QuarterKey_Range, 0))*IF(DATE(YEAR($A2)-1,11,1)&gt;=Raise_Effective_Date, Base_Annual_Salary*(1+Raise_Pct)/12, Base_Annual_Salary/12)*IF(DATE(YEAR($A2)-1,11,1)&gt;=Raise_Effective_Date, Bonus_Pct_Post, Bonus_Pct_Pre) + INDEX(QuarterMult_Range, MATCH("Q2 "&amp;YEAR($A2), QuarterKey_Range, 0))*IF(DATE(YEAR($A2),2,1)&gt;=Raise_Effective_Date, Base_Annual_Salary*(1+Raise_Pct)/12, Base_Annual_Salary/12)*IF(DATE(YEAR($A2),2,1)&gt;=Raise_Effective_Date, Bonus_Pct_Post, Bonus_Pct_Pre)),IF(MONTH($A2)=12,3*(INDEX(QuarterMult_Range, MATCH("Q3 "&amp;YEAR($A2), QuarterKey_Range, 0))*IF(DATE(YEAR($A2),5,1)&gt;=Raise_Effective_Date, Base_Annual_Salary*(1+Raise_Pct)/12, Base_Annual_Salary/12)*IF(DATE(YEAR($A2),5,1)&gt;=Raise_Effective_Date, Bonus_Pct_Post, Bonus_Pct_Pre) + INDEX(QuarterMult_Range, MATCH("Q4 "&amp;YEAR($A2), QuarterKey_Range, 0))*IF(DATE(YEAR($A2),8,1)&gt;=Raise_Effective_Date, Base_Annual_Salary*(1+Raise_Pct)/12, Base_Annual_Salary/12)*IF(DATE(YEAR($A2),8,1)&gt;=Raise_Effective_Date, Bonus_Pct_Post, Bonus_Pct_Pre)),0)))</f>
        <v>0</v>
      </c>
      <c r="D2" s="12">
        <f t="shared" ref="D2:D24" si="2">SUMIFS($L$2:$L$21,$K$2:$K$21,"&gt;="&amp;$A2,$K$2:$K$21,"&lt;"&amp;EDATE($A2,1))</f>
        <v>0</v>
      </c>
      <c r="E2" s="12">
        <f t="shared" ref="E2:E24" si="3">-B2*ESPP_Contrib_Pct</f>
        <v>-480</v>
      </c>
      <c r="F2" s="12">
        <f t="shared" ref="F2:F24" si="4">IF(MONTH($A2)=12,(-SUMIFS($E$2:$E$24,$A$2:$A$24,"&gt;="&amp;DATE(YEAR($A2),6,1),$A$2:$A$24,"&lt;="&amp;DATE(YEAR($A2),11,1)))/(1-ESPP_Discount),IF(MONTH($A2)=6,(-SUMIFS($E$2:$E$24,$A$2:$A$24,"&gt;="&amp;DATE(YEAR($A2)-1,12,1),$A$2:$A$24,"&lt;="&amp;DATE(YEAR($A2),5,1)))/(1-ESPP_Discount),0))</f>
        <v>0</v>
      </c>
      <c r="G2" s="12">
        <f t="shared" ref="G2:G24" si="5">SUM(B2:F2)</f>
        <v>1920</v>
      </c>
      <c r="J2">
        <v>1</v>
      </c>
      <c r="K2" s="13">
        <f>EDATE(RSU_Grant_Date,12)</f>
        <v>46461</v>
      </c>
      <c r="L2" s="14">
        <f t="shared" ref="L2:L21" si="6">RSU_Grant_Value/4</f>
        <v>1250</v>
      </c>
    </row>
    <row r="3" spans="1:14" x14ac:dyDescent="0.3">
      <c r="A3" s="11">
        <f>EDATE($A$2,1)</f>
        <v>46204</v>
      </c>
      <c r="B3" s="12">
        <f t="shared" si="0"/>
        <v>2400</v>
      </c>
      <c r="C3" s="12">
        <f t="shared" si="1"/>
        <v>0</v>
      </c>
      <c r="D3" s="12">
        <f t="shared" si="2"/>
        <v>0</v>
      </c>
      <c r="E3" s="12">
        <f t="shared" si="3"/>
        <v>-480</v>
      </c>
      <c r="F3" s="12">
        <f t="shared" si="4"/>
        <v>0</v>
      </c>
      <c r="G3" s="12">
        <f t="shared" si="5"/>
        <v>1920</v>
      </c>
      <c r="J3">
        <v>1</v>
      </c>
      <c r="K3" s="13">
        <f>EDATE(RSU_Grant_Date,24)</f>
        <v>46827</v>
      </c>
      <c r="L3" s="14">
        <f t="shared" si="6"/>
        <v>1250</v>
      </c>
      <c r="N3" s="9" t="s">
        <v>51</v>
      </c>
    </row>
    <row r="4" spans="1:14" x14ac:dyDescent="0.3">
      <c r="A4" s="11">
        <f>EDATE($A$2,2)</f>
        <v>46235</v>
      </c>
      <c r="B4" s="12">
        <f t="shared" si="0"/>
        <v>2400</v>
      </c>
      <c r="C4" s="12">
        <f t="shared" si="1"/>
        <v>0</v>
      </c>
      <c r="D4" s="12">
        <f t="shared" si="2"/>
        <v>0</v>
      </c>
      <c r="E4" s="12">
        <f t="shared" si="3"/>
        <v>-480</v>
      </c>
      <c r="F4" s="12">
        <f t="shared" si="4"/>
        <v>0</v>
      </c>
      <c r="G4" s="12">
        <f t="shared" si="5"/>
        <v>1920</v>
      </c>
      <c r="J4">
        <v>1</v>
      </c>
      <c r="K4" s="13">
        <f>EDATE(RSU_Grant_Date,36)</f>
        <v>47192</v>
      </c>
      <c r="L4" s="14">
        <f t="shared" si="6"/>
        <v>1250</v>
      </c>
      <c r="N4" s="14">
        <f>SUM(G3:G8)</f>
        <v>17488.8</v>
      </c>
    </row>
    <row r="5" spans="1:14" x14ac:dyDescent="0.3">
      <c r="A5" s="11">
        <f>EDATE($A$2,3)</f>
        <v>46266</v>
      </c>
      <c r="B5" s="12">
        <f t="shared" si="0"/>
        <v>2400</v>
      </c>
      <c r="C5" s="12">
        <f t="shared" si="1"/>
        <v>0</v>
      </c>
      <c r="D5" s="12">
        <f t="shared" si="2"/>
        <v>0</v>
      </c>
      <c r="E5" s="12">
        <f t="shared" si="3"/>
        <v>-480</v>
      </c>
      <c r="F5" s="12">
        <f t="shared" si="4"/>
        <v>0</v>
      </c>
      <c r="G5" s="12">
        <f t="shared" si="5"/>
        <v>1920</v>
      </c>
      <c r="J5">
        <v>1</v>
      </c>
      <c r="K5" s="13">
        <f>EDATE(RSU_Grant_Date,48)</f>
        <v>47557</v>
      </c>
      <c r="L5" s="14">
        <f t="shared" si="6"/>
        <v>1250</v>
      </c>
    </row>
    <row r="6" spans="1:14" x14ac:dyDescent="0.3">
      <c r="A6" s="11">
        <f>EDATE($A$2,4)</f>
        <v>46296</v>
      </c>
      <c r="B6" s="12">
        <f t="shared" si="0"/>
        <v>2400</v>
      </c>
      <c r="C6" s="12">
        <f t="shared" si="1"/>
        <v>0</v>
      </c>
      <c r="D6" s="12">
        <f t="shared" si="2"/>
        <v>0</v>
      </c>
      <c r="E6" s="12">
        <f t="shared" si="3"/>
        <v>-480</v>
      </c>
      <c r="F6" s="12">
        <f t="shared" si="4"/>
        <v>0</v>
      </c>
      <c r="G6" s="12">
        <f t="shared" si="5"/>
        <v>1920</v>
      </c>
      <c r="J6">
        <v>2</v>
      </c>
      <c r="K6" s="13">
        <f>EDATE(RSU_Grant_Date,24)</f>
        <v>46827</v>
      </c>
      <c r="L6" s="14">
        <f t="shared" si="6"/>
        <v>1250</v>
      </c>
    </row>
    <row r="7" spans="1:14" x14ac:dyDescent="0.3">
      <c r="A7" s="11">
        <f>EDATE($A$2,5)</f>
        <v>46327</v>
      </c>
      <c r="B7" s="12">
        <f t="shared" si="0"/>
        <v>2400</v>
      </c>
      <c r="C7" s="12">
        <f t="shared" si="1"/>
        <v>0</v>
      </c>
      <c r="D7" s="12">
        <f t="shared" si="2"/>
        <v>0</v>
      </c>
      <c r="E7" s="12">
        <f t="shared" si="3"/>
        <v>-480</v>
      </c>
      <c r="F7" s="12">
        <f t="shared" si="4"/>
        <v>0</v>
      </c>
      <c r="G7" s="12">
        <f t="shared" si="5"/>
        <v>1920</v>
      </c>
      <c r="J7">
        <v>2</v>
      </c>
      <c r="K7" s="13">
        <f>EDATE(RSU_Grant_Date,36)</f>
        <v>47192</v>
      </c>
      <c r="L7" s="14">
        <f t="shared" si="6"/>
        <v>1250</v>
      </c>
    </row>
    <row r="8" spans="1:14" x14ac:dyDescent="0.3">
      <c r="A8" s="11">
        <f>EDATE($A$2,6)</f>
        <v>46357</v>
      </c>
      <c r="B8" s="12">
        <f t="shared" si="0"/>
        <v>2400</v>
      </c>
      <c r="C8" s="12">
        <f t="shared" si="1"/>
        <v>2368.8000000000002</v>
      </c>
      <c r="D8" s="12">
        <f t="shared" si="2"/>
        <v>0</v>
      </c>
      <c r="E8" s="12">
        <f t="shared" si="3"/>
        <v>-480</v>
      </c>
      <c r="F8" s="12">
        <f t="shared" si="4"/>
        <v>3600</v>
      </c>
      <c r="G8" s="12">
        <f t="shared" si="5"/>
        <v>7888.8</v>
      </c>
      <c r="J8">
        <v>2</v>
      </c>
      <c r="K8" s="13">
        <f>EDATE(RSU_Grant_Date,48)</f>
        <v>47557</v>
      </c>
      <c r="L8" s="14">
        <f t="shared" si="6"/>
        <v>1250</v>
      </c>
    </row>
    <row r="9" spans="1:14" x14ac:dyDescent="0.3">
      <c r="A9" s="11">
        <f>EDATE($A$2,7)</f>
        <v>46388</v>
      </c>
      <c r="B9" s="12">
        <f t="shared" si="0"/>
        <v>2400</v>
      </c>
      <c r="C9" s="12">
        <f t="shared" si="1"/>
        <v>0</v>
      </c>
      <c r="D9" s="12">
        <f t="shared" si="2"/>
        <v>0</v>
      </c>
      <c r="E9" s="12">
        <f t="shared" si="3"/>
        <v>-480</v>
      </c>
      <c r="F9" s="12">
        <f t="shared" si="4"/>
        <v>0</v>
      </c>
      <c r="G9" s="12">
        <f t="shared" si="5"/>
        <v>1920</v>
      </c>
      <c r="J9">
        <v>2</v>
      </c>
      <c r="K9" s="13">
        <f>EDATE(RSU_Grant_Date,60)</f>
        <v>47922</v>
      </c>
      <c r="L9" s="14">
        <f t="shared" si="6"/>
        <v>1250</v>
      </c>
      <c r="N9" s="9" t="s">
        <v>52</v>
      </c>
    </row>
    <row r="10" spans="1:14" x14ac:dyDescent="0.3">
      <c r="A10" s="11">
        <f>EDATE($A$2,8)</f>
        <v>46419</v>
      </c>
      <c r="B10" s="12">
        <f t="shared" si="0"/>
        <v>2400</v>
      </c>
      <c r="C10" s="12">
        <f t="shared" si="1"/>
        <v>0</v>
      </c>
      <c r="D10" s="12">
        <f t="shared" si="2"/>
        <v>0</v>
      </c>
      <c r="E10" s="12">
        <f t="shared" si="3"/>
        <v>-480</v>
      </c>
      <c r="F10" s="12">
        <f t="shared" si="4"/>
        <v>0</v>
      </c>
      <c r="G10" s="12">
        <f t="shared" si="5"/>
        <v>1920</v>
      </c>
      <c r="J10">
        <v>3</v>
      </c>
      <c r="K10" s="13">
        <f>EDATE(RSU_Grant_Date,36)</f>
        <v>47192</v>
      </c>
      <c r="L10" s="14">
        <f t="shared" si="6"/>
        <v>1250</v>
      </c>
      <c r="N10" s="14">
        <f>SUM(G9:G20)</f>
        <v>39230</v>
      </c>
    </row>
    <row r="11" spans="1:14" x14ac:dyDescent="0.3">
      <c r="A11" s="11">
        <f>EDATE($A$2,9)</f>
        <v>46447</v>
      </c>
      <c r="B11" s="12">
        <f t="shared" si="0"/>
        <v>2400</v>
      </c>
      <c r="C11" s="12">
        <f t="shared" si="1"/>
        <v>0</v>
      </c>
      <c r="D11" s="12">
        <f t="shared" si="2"/>
        <v>1250</v>
      </c>
      <c r="E11" s="12">
        <f t="shared" si="3"/>
        <v>-480</v>
      </c>
      <c r="F11" s="12">
        <f t="shared" si="4"/>
        <v>0</v>
      </c>
      <c r="G11" s="12">
        <f t="shared" si="5"/>
        <v>3170</v>
      </c>
      <c r="J11">
        <v>3</v>
      </c>
      <c r="K11" s="13">
        <f>EDATE(RSU_Grant_Date,48)</f>
        <v>47557</v>
      </c>
      <c r="L11" s="14">
        <f t="shared" si="6"/>
        <v>1250</v>
      </c>
    </row>
    <row r="12" spans="1:14" x14ac:dyDescent="0.3">
      <c r="A12" s="11">
        <f>EDATE($A$2,10)</f>
        <v>46478</v>
      </c>
      <c r="B12" s="12">
        <f t="shared" si="0"/>
        <v>2400</v>
      </c>
      <c r="C12" s="12">
        <f t="shared" si="1"/>
        <v>0</v>
      </c>
      <c r="D12" s="12">
        <f t="shared" si="2"/>
        <v>0</v>
      </c>
      <c r="E12" s="12">
        <f t="shared" si="3"/>
        <v>-480</v>
      </c>
      <c r="F12" s="12">
        <f t="shared" si="4"/>
        <v>0</v>
      </c>
      <c r="G12" s="12">
        <f t="shared" si="5"/>
        <v>1920</v>
      </c>
      <c r="J12">
        <v>3</v>
      </c>
      <c r="K12" s="13">
        <f>EDATE(RSU_Grant_Date,60)</f>
        <v>47922</v>
      </c>
      <c r="L12" s="14">
        <f t="shared" si="6"/>
        <v>1250</v>
      </c>
    </row>
    <row r="13" spans="1:14" x14ac:dyDescent="0.3">
      <c r="A13" s="11">
        <f>EDATE($A$2,11)</f>
        <v>46508</v>
      </c>
      <c r="B13" s="12">
        <f t="shared" si="0"/>
        <v>2640.0000000000005</v>
      </c>
      <c r="C13" s="12">
        <f t="shared" si="1"/>
        <v>0</v>
      </c>
      <c r="D13" s="12">
        <f t="shared" si="2"/>
        <v>0</v>
      </c>
      <c r="E13" s="12">
        <f t="shared" si="3"/>
        <v>-528.00000000000011</v>
      </c>
      <c r="F13" s="12">
        <f t="shared" si="4"/>
        <v>0</v>
      </c>
      <c r="G13" s="12">
        <f t="shared" si="5"/>
        <v>2112.0000000000005</v>
      </c>
      <c r="J13">
        <v>3</v>
      </c>
      <c r="K13" s="13">
        <f>EDATE(RSU_Grant_Date,72)</f>
        <v>48288</v>
      </c>
      <c r="L13" s="14">
        <f t="shared" si="6"/>
        <v>1250</v>
      </c>
    </row>
    <row r="14" spans="1:14" x14ac:dyDescent="0.3">
      <c r="A14" s="11">
        <f>EDATE($A$2,12)</f>
        <v>46539</v>
      </c>
      <c r="B14" s="12">
        <f t="shared" si="0"/>
        <v>2640.0000000000005</v>
      </c>
      <c r="C14" s="12">
        <f t="shared" si="1"/>
        <v>2167.2000000000003</v>
      </c>
      <c r="D14" s="12">
        <f t="shared" si="2"/>
        <v>0</v>
      </c>
      <c r="E14" s="12">
        <f t="shared" si="3"/>
        <v>-528.00000000000011</v>
      </c>
      <c r="F14" s="12">
        <f t="shared" si="4"/>
        <v>3660</v>
      </c>
      <c r="G14" s="12">
        <f t="shared" si="5"/>
        <v>7939.2000000000007</v>
      </c>
      <c r="J14">
        <v>4</v>
      </c>
      <c r="K14" s="13">
        <f>EDATE(RSU_Grant_Date,48)</f>
        <v>47557</v>
      </c>
      <c r="L14" s="14">
        <f t="shared" si="6"/>
        <v>1250</v>
      </c>
    </row>
    <row r="15" spans="1:14" x14ac:dyDescent="0.3">
      <c r="A15" s="11">
        <f>EDATE($A$2,13)</f>
        <v>46569</v>
      </c>
      <c r="B15" s="12">
        <f t="shared" si="0"/>
        <v>2640.0000000000005</v>
      </c>
      <c r="C15" s="12">
        <f t="shared" si="1"/>
        <v>0</v>
      </c>
      <c r="D15" s="12">
        <f t="shared" si="2"/>
        <v>0</v>
      </c>
      <c r="E15" s="12">
        <f t="shared" si="3"/>
        <v>-528.00000000000011</v>
      </c>
      <c r="F15" s="12">
        <f t="shared" si="4"/>
        <v>0</v>
      </c>
      <c r="G15" s="12">
        <f t="shared" si="5"/>
        <v>2112.0000000000005</v>
      </c>
      <c r="J15">
        <v>4</v>
      </c>
      <c r="K15" s="13">
        <f>EDATE(RSU_Grant_Date,60)</f>
        <v>47922</v>
      </c>
      <c r="L15" s="14">
        <f t="shared" si="6"/>
        <v>1250</v>
      </c>
    </row>
    <row r="16" spans="1:14" x14ac:dyDescent="0.3">
      <c r="A16" s="11">
        <f>EDATE($A$2,14)</f>
        <v>46600</v>
      </c>
      <c r="B16" s="12">
        <f t="shared" si="0"/>
        <v>2640.0000000000005</v>
      </c>
      <c r="C16" s="12">
        <f t="shared" si="1"/>
        <v>0</v>
      </c>
      <c r="D16" s="12">
        <f t="shared" si="2"/>
        <v>0</v>
      </c>
      <c r="E16" s="12">
        <f t="shared" si="3"/>
        <v>-528.00000000000011</v>
      </c>
      <c r="F16" s="12">
        <f t="shared" si="4"/>
        <v>0</v>
      </c>
      <c r="G16" s="12">
        <f t="shared" si="5"/>
        <v>2112.0000000000005</v>
      </c>
      <c r="J16">
        <v>4</v>
      </c>
      <c r="K16" s="13">
        <f>EDATE(RSU_Grant_Date,72)</f>
        <v>48288</v>
      </c>
      <c r="L16" s="14">
        <f t="shared" si="6"/>
        <v>1250</v>
      </c>
    </row>
    <row r="17" spans="1:14" x14ac:dyDescent="0.3">
      <c r="A17" s="11">
        <f>EDATE($A$2,15)</f>
        <v>46631</v>
      </c>
      <c r="B17" s="12">
        <f t="shared" si="0"/>
        <v>2640.0000000000005</v>
      </c>
      <c r="C17" s="12">
        <f t="shared" si="1"/>
        <v>0</v>
      </c>
      <c r="D17" s="12">
        <f t="shared" si="2"/>
        <v>0</v>
      </c>
      <c r="E17" s="12">
        <f t="shared" si="3"/>
        <v>-528.00000000000011</v>
      </c>
      <c r="F17" s="12">
        <f t="shared" si="4"/>
        <v>0</v>
      </c>
      <c r="G17" s="12">
        <f t="shared" si="5"/>
        <v>2112.0000000000005</v>
      </c>
      <c r="J17">
        <v>4</v>
      </c>
      <c r="K17" s="13">
        <f>EDATE(RSU_Grant_Date,84)</f>
        <v>48653</v>
      </c>
      <c r="L17" s="14">
        <f t="shared" si="6"/>
        <v>1250</v>
      </c>
    </row>
    <row r="18" spans="1:14" x14ac:dyDescent="0.3">
      <c r="A18" s="11">
        <f>EDATE($A$2,16)</f>
        <v>46661</v>
      </c>
      <c r="B18" s="12">
        <f t="shared" si="0"/>
        <v>2640.0000000000005</v>
      </c>
      <c r="C18" s="12">
        <f t="shared" si="1"/>
        <v>0</v>
      </c>
      <c r="D18" s="12">
        <f t="shared" si="2"/>
        <v>0</v>
      </c>
      <c r="E18" s="12">
        <f t="shared" si="3"/>
        <v>-528.00000000000011</v>
      </c>
      <c r="F18" s="12">
        <f t="shared" si="4"/>
        <v>0</v>
      </c>
      <c r="G18" s="12">
        <f t="shared" si="5"/>
        <v>2112.0000000000005</v>
      </c>
      <c r="J18">
        <v>5</v>
      </c>
      <c r="K18" s="13">
        <f>EDATE(RSU_Grant_Date,60)</f>
        <v>47922</v>
      </c>
      <c r="L18" s="14">
        <f t="shared" si="6"/>
        <v>1250</v>
      </c>
    </row>
    <row r="19" spans="1:14" x14ac:dyDescent="0.3">
      <c r="A19" s="11">
        <f>EDATE($A$2,17)</f>
        <v>46692</v>
      </c>
      <c r="B19" s="12">
        <f t="shared" si="0"/>
        <v>2640.0000000000005</v>
      </c>
      <c r="C19" s="12">
        <f t="shared" si="1"/>
        <v>0</v>
      </c>
      <c r="D19" s="12">
        <f t="shared" si="2"/>
        <v>0</v>
      </c>
      <c r="E19" s="12">
        <f t="shared" si="3"/>
        <v>-528.00000000000011</v>
      </c>
      <c r="F19" s="12">
        <f t="shared" si="4"/>
        <v>0</v>
      </c>
      <c r="G19" s="12">
        <f t="shared" si="5"/>
        <v>2112.0000000000005</v>
      </c>
      <c r="J19">
        <v>5</v>
      </c>
      <c r="K19" s="13">
        <f>EDATE(RSU_Grant_Date,72)</f>
        <v>48288</v>
      </c>
      <c r="L19" s="14">
        <f t="shared" si="6"/>
        <v>1250</v>
      </c>
    </row>
    <row r="20" spans="1:14" x14ac:dyDescent="0.3">
      <c r="A20" s="11">
        <f>EDATE($A$2,18)</f>
        <v>46722</v>
      </c>
      <c r="B20" s="12">
        <f t="shared" si="0"/>
        <v>2640.0000000000005</v>
      </c>
      <c r="C20" s="12">
        <f t="shared" si="1"/>
        <v>3088.8000000000011</v>
      </c>
      <c r="D20" s="12">
        <f t="shared" si="2"/>
        <v>0</v>
      </c>
      <c r="E20" s="12">
        <v>0</v>
      </c>
      <c r="F20" s="12">
        <f t="shared" si="4"/>
        <v>3960.0000000000005</v>
      </c>
      <c r="G20" s="12">
        <f t="shared" si="5"/>
        <v>9688.8000000000011</v>
      </c>
      <c r="J20">
        <v>5</v>
      </c>
      <c r="K20" s="13">
        <f>EDATE(RSU_Grant_Date,84)</f>
        <v>48653</v>
      </c>
      <c r="L20" s="14">
        <f t="shared" si="6"/>
        <v>1250</v>
      </c>
    </row>
    <row r="21" spans="1:14" x14ac:dyDescent="0.3">
      <c r="A21" s="11">
        <f>EDATE($A$2,19)</f>
        <v>46753</v>
      </c>
      <c r="B21" s="12">
        <f t="shared" si="0"/>
        <v>2640.0000000000005</v>
      </c>
      <c r="C21" s="12">
        <f t="shared" si="1"/>
        <v>0</v>
      </c>
      <c r="D21" s="12">
        <f t="shared" si="2"/>
        <v>0</v>
      </c>
      <c r="E21" s="12">
        <v>0</v>
      </c>
      <c r="F21" s="12">
        <f t="shared" si="4"/>
        <v>0</v>
      </c>
      <c r="G21" s="12">
        <f t="shared" si="5"/>
        <v>2640.0000000000005</v>
      </c>
      <c r="J21">
        <v>5</v>
      </c>
      <c r="K21" s="13">
        <f>EDATE(RSU_Grant_Date,96)</f>
        <v>49018</v>
      </c>
      <c r="L21" s="14">
        <f t="shared" si="6"/>
        <v>1250</v>
      </c>
      <c r="N21" s="9" t="s">
        <v>53</v>
      </c>
    </row>
    <row r="22" spans="1:14" x14ac:dyDescent="0.3">
      <c r="A22" s="11">
        <f>EDATE($A$2,20)</f>
        <v>46784</v>
      </c>
      <c r="B22" s="12">
        <f t="shared" si="0"/>
        <v>2640.0000000000005</v>
      </c>
      <c r="C22" s="12">
        <f t="shared" si="1"/>
        <v>0</v>
      </c>
      <c r="D22" s="12">
        <f t="shared" si="2"/>
        <v>0</v>
      </c>
      <c r="E22" s="12">
        <v>0</v>
      </c>
      <c r="F22" s="12">
        <f t="shared" si="4"/>
        <v>0</v>
      </c>
      <c r="G22" s="12">
        <f t="shared" si="5"/>
        <v>2640.0000000000005</v>
      </c>
      <c r="N22" s="14">
        <f>SUM(G21:G24)</f>
        <v>13060</v>
      </c>
    </row>
    <row r="23" spans="1:14" x14ac:dyDescent="0.3">
      <c r="A23" s="11">
        <f>EDATE($A$2,21)</f>
        <v>46813</v>
      </c>
      <c r="B23" s="12">
        <f t="shared" si="0"/>
        <v>2640.0000000000005</v>
      </c>
      <c r="C23" s="12">
        <f t="shared" si="1"/>
        <v>0</v>
      </c>
      <c r="D23" s="12">
        <f t="shared" si="2"/>
        <v>2500</v>
      </c>
      <c r="E23" s="12">
        <v>0</v>
      </c>
      <c r="F23" s="12">
        <f t="shared" si="4"/>
        <v>0</v>
      </c>
      <c r="G23" s="12">
        <f t="shared" si="5"/>
        <v>5140</v>
      </c>
    </row>
    <row r="24" spans="1:14" x14ac:dyDescent="0.3">
      <c r="A24" s="11">
        <f>EDATE($A$2,22)</f>
        <v>46844</v>
      </c>
      <c r="B24" s="12">
        <f t="shared" si="0"/>
        <v>2640.0000000000005</v>
      </c>
      <c r="C24" s="12">
        <f t="shared" si="1"/>
        <v>0</v>
      </c>
      <c r="D24" s="12">
        <f t="shared" si="2"/>
        <v>0</v>
      </c>
      <c r="E24" s="12">
        <v>0</v>
      </c>
      <c r="F24" s="12">
        <f t="shared" si="4"/>
        <v>0</v>
      </c>
      <c r="G24" s="12">
        <f t="shared" si="5"/>
        <v>2640.0000000000005</v>
      </c>
    </row>
  </sheetData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eaa689b4-8f87-40e0-9c6f-7228de4d754a}" enabled="0" method="" siteId="{eaa689b4-8f87-40e0-9c6f-7228de4d75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Inputs</vt:lpstr>
      <vt:lpstr>Monthly Schedule</vt:lpstr>
      <vt:lpstr>Monthly Schedule Modified</vt:lpstr>
      <vt:lpstr>Base_Annual_Salary</vt:lpstr>
      <vt:lpstr>Bonus_Pct_Post</vt:lpstr>
      <vt:lpstr>Bonus_Pct_Pre</vt:lpstr>
      <vt:lpstr>ESPP_Contrib_Pct</vt:lpstr>
      <vt:lpstr>ESPP_Discount</vt:lpstr>
      <vt:lpstr>QuarterKey_Range</vt:lpstr>
      <vt:lpstr>QuarterMult_Range</vt:lpstr>
      <vt:lpstr>Raise_Effective_Date</vt:lpstr>
      <vt:lpstr>Raise_Pct</vt:lpstr>
      <vt:lpstr>RSU_Grant_Date</vt:lpstr>
      <vt:lpstr>RSU_Grant_Value</vt:lpstr>
      <vt:lpstr>Schedule_End_Month</vt:lpstr>
      <vt:lpstr>Schedule_Start_Month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Fahmy, Omar</dc:creator>
  <cp:keywords/>
  <dc:description/>
  <cp:lastModifiedBy>Fahmy, Omar</cp:lastModifiedBy>
  <cp:revision/>
  <dcterms:created xsi:type="dcterms:W3CDTF">2026-04-28T06:59:51Z</dcterms:created>
  <dcterms:modified xsi:type="dcterms:W3CDTF">2026-04-28T13:35:54Z</dcterms:modified>
  <cp:category/>
  <cp:contentStatus/>
</cp:coreProperties>
</file>