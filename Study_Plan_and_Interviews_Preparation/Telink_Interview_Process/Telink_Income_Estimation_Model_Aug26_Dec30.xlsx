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Personal_Stuff\Study_Plan_and_Interviews_Preparation\Telink_Interview_Process\"/>
    </mc:Choice>
  </mc:AlternateContent>
  <xr:revisionPtr revIDLastSave="0" documentId="13_ncr:1_{B0591273-79D8-433F-A2EB-0EE6CF2A890F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Inputs" sheetId="1" r:id="rId1"/>
    <sheet name="Monthly Schedule" sheetId="2" r:id="rId2"/>
  </sheets>
  <externalReferences>
    <externalReference r:id="rId3"/>
  </externalReferences>
  <definedNames>
    <definedName name="Annual_Salary">Inputs!$B$4</definedName>
    <definedName name="Bonus_Months">Inputs!$B$11</definedName>
    <definedName name="Junior_Annual_Salary">Inputs!$B$4</definedName>
    <definedName name="Living_Expenses_EGP_Monthly">Inputs!#REF!</definedName>
    <definedName name="Living_Expenses_EGP_Monthly_2026">[1]Inputs!$B$24</definedName>
    <definedName name="Living_Expenses_EGP_Monthly_2027">[1]Inputs!$B$25</definedName>
    <definedName name="Living_Expenses_EGP_Monthly_2028">[1]Inputs!$B$26</definedName>
    <definedName name="Living_Expenses_EGP_Monthly_2029">[1]Inputs!$B$27</definedName>
    <definedName name="Living_Expenses_EGP_Monthly_2030">[1]Inputs!$B$28</definedName>
    <definedName name="Promotion_Pct_Jan2030">Inputs!$B$9</definedName>
    <definedName name="Raise_Pct_Jan2027">Inputs!$B$5</definedName>
    <definedName name="Raise_Pct_Jan2028">Inputs!$B$6</definedName>
    <definedName name="Raise_Pct_Jan2029">Inputs!$B$7</definedName>
    <definedName name="Raise_Pct_Jan2030">Inputs!$B$8</definedName>
    <definedName name="Retention_Pct_Senior_2027">Inputs!$B$14</definedName>
    <definedName name="Retention_Pct_Senior_2028">Inputs!$B$15</definedName>
    <definedName name="Retention_Pct_Senior_2029">Inputs!$B$16</definedName>
    <definedName name="Retention_Pct_Staff_2030">Inputs!$B$17</definedName>
    <definedName name="Senior_Bonus_Months">Inputs!$B$11</definedName>
    <definedName name="SignOn_Bonus">Inputs!$B$19</definedName>
    <definedName name="Staff_Bonus_Months">Inputs!$B$12</definedName>
    <definedName name="Tax_Pct">Inputs!$B$23</definedName>
    <definedName name="USD_to_EGP">Inputs!$B$29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8" i="1" l="1"/>
  <c r="B27" i="1"/>
  <c r="B26" i="1"/>
  <c r="B25" i="1"/>
  <c r="B54" i="2" l="1"/>
  <c r="B53" i="2"/>
  <c r="B52" i="2"/>
  <c r="B51" i="2"/>
  <c r="B50" i="2"/>
  <c r="B49" i="2"/>
  <c r="B48" i="2"/>
  <c r="B47" i="2"/>
  <c r="B46" i="2"/>
  <c r="B45" i="2"/>
  <c r="B44" i="2"/>
  <c r="B43" i="2"/>
  <c r="B42" i="2"/>
  <c r="A42" i="2"/>
  <c r="B41" i="2"/>
  <c r="A41" i="2"/>
  <c r="B40" i="2"/>
  <c r="A40" i="2"/>
  <c r="B39" i="2"/>
  <c r="A39" i="2"/>
  <c r="B38" i="2"/>
  <c r="A38" i="2"/>
  <c r="B37" i="2"/>
  <c r="A37" i="2"/>
  <c r="B36" i="2"/>
  <c r="A36" i="2"/>
  <c r="B35" i="2"/>
  <c r="A35" i="2"/>
  <c r="B34" i="2"/>
  <c r="A34" i="2"/>
  <c r="B33" i="2"/>
  <c r="A33" i="2"/>
  <c r="B32" i="2"/>
  <c r="A32" i="2"/>
  <c r="B31" i="2"/>
  <c r="A31" i="2"/>
  <c r="B30" i="2"/>
  <c r="A30" i="2"/>
  <c r="B29" i="2"/>
  <c r="A29" i="2"/>
  <c r="B28" i="2"/>
  <c r="A28" i="2"/>
  <c r="B27" i="2"/>
  <c r="A27" i="2"/>
  <c r="B26" i="2"/>
  <c r="A26" i="2"/>
  <c r="B25" i="2"/>
  <c r="A25" i="2"/>
  <c r="B24" i="2"/>
  <c r="A24" i="2"/>
  <c r="B23" i="2"/>
  <c r="A23" i="2"/>
  <c r="B22" i="2"/>
  <c r="A22" i="2"/>
  <c r="B21" i="2"/>
  <c r="A21" i="2"/>
  <c r="B20" i="2"/>
  <c r="A20" i="2"/>
  <c r="B19" i="2"/>
  <c r="A19" i="2"/>
  <c r="B18" i="2"/>
  <c r="A18" i="2"/>
  <c r="B17" i="2"/>
  <c r="A17" i="2"/>
  <c r="B16" i="2"/>
  <c r="A16" i="2"/>
  <c r="B15" i="2"/>
  <c r="A15" i="2"/>
  <c r="B14" i="2"/>
  <c r="A14" i="2"/>
  <c r="B13" i="2"/>
  <c r="A13" i="2"/>
  <c r="B12" i="2"/>
  <c r="A12" i="2"/>
  <c r="B11" i="2"/>
  <c r="A11" i="2"/>
  <c r="B10" i="2"/>
  <c r="A10" i="2"/>
  <c r="B9" i="2"/>
  <c r="A9" i="2"/>
  <c r="B8" i="2"/>
  <c r="A8" i="2"/>
  <c r="B7" i="2"/>
  <c r="A7" i="2"/>
  <c r="B6" i="2"/>
  <c r="A6" i="2"/>
  <c r="B5" i="2"/>
  <c r="A5" i="2"/>
  <c r="B4" i="2"/>
  <c r="A4" i="2"/>
  <c r="B3" i="2"/>
  <c r="A3" i="2"/>
  <c r="E2" i="2"/>
  <c r="D2" i="2"/>
  <c r="C2" i="2"/>
  <c r="A2" i="2"/>
  <c r="B19" i="1"/>
  <c r="F2" i="2" s="1"/>
  <c r="G2" i="2" l="1"/>
  <c r="H2" i="2" s="1"/>
  <c r="F3" i="2"/>
  <c r="E3" i="2"/>
  <c r="D3" i="2"/>
  <c r="C3" i="2"/>
  <c r="F4" i="2"/>
  <c r="E4" i="2"/>
  <c r="D4" i="2"/>
  <c r="C4" i="2"/>
  <c r="F5" i="2"/>
  <c r="E5" i="2"/>
  <c r="D5" i="2"/>
  <c r="C5" i="2"/>
  <c r="F6" i="2"/>
  <c r="E6" i="2"/>
  <c r="D6" i="2"/>
  <c r="C6" i="2"/>
  <c r="F7" i="2"/>
  <c r="E7" i="2"/>
  <c r="D7" i="2"/>
  <c r="C7" i="2"/>
  <c r="F8" i="2"/>
  <c r="E8" i="2"/>
  <c r="D8" i="2"/>
  <c r="C8" i="2"/>
  <c r="F9" i="2"/>
  <c r="E9" i="2"/>
  <c r="D9" i="2"/>
  <c r="C9" i="2"/>
  <c r="F10" i="2"/>
  <c r="E10" i="2"/>
  <c r="D10" i="2"/>
  <c r="C10" i="2"/>
  <c r="F11" i="2"/>
  <c r="E11" i="2"/>
  <c r="D11" i="2"/>
  <c r="C11" i="2"/>
  <c r="F12" i="2"/>
  <c r="E12" i="2"/>
  <c r="D12" i="2"/>
  <c r="C12" i="2"/>
  <c r="F13" i="2"/>
  <c r="E13" i="2"/>
  <c r="D13" i="2"/>
  <c r="C13" i="2"/>
  <c r="F14" i="2"/>
  <c r="E14" i="2"/>
  <c r="D14" i="2"/>
  <c r="C14" i="2"/>
  <c r="F15" i="2"/>
  <c r="E15" i="2"/>
  <c r="D15" i="2"/>
  <c r="C15" i="2"/>
  <c r="F16" i="2"/>
  <c r="E16" i="2"/>
  <c r="D16" i="2"/>
  <c r="C16" i="2"/>
  <c r="F17" i="2"/>
  <c r="E17" i="2"/>
  <c r="D17" i="2"/>
  <c r="C17" i="2"/>
  <c r="F18" i="2"/>
  <c r="E18" i="2"/>
  <c r="D18" i="2"/>
  <c r="C18" i="2"/>
  <c r="F19" i="2"/>
  <c r="E19" i="2"/>
  <c r="D19" i="2"/>
  <c r="C19" i="2"/>
  <c r="F20" i="2"/>
  <c r="E20" i="2"/>
  <c r="D20" i="2"/>
  <c r="C20" i="2"/>
  <c r="F21" i="2"/>
  <c r="E21" i="2"/>
  <c r="D21" i="2"/>
  <c r="C21" i="2"/>
  <c r="F22" i="2"/>
  <c r="E22" i="2"/>
  <c r="D22" i="2"/>
  <c r="C22" i="2"/>
  <c r="F23" i="2"/>
  <c r="E23" i="2"/>
  <c r="D23" i="2"/>
  <c r="C23" i="2"/>
  <c r="F24" i="2"/>
  <c r="E24" i="2"/>
  <c r="D24" i="2"/>
  <c r="C24" i="2"/>
  <c r="F25" i="2"/>
  <c r="E25" i="2"/>
  <c r="D25" i="2"/>
  <c r="C25" i="2"/>
  <c r="F26" i="2"/>
  <c r="E26" i="2"/>
  <c r="D26" i="2"/>
  <c r="C26" i="2"/>
  <c r="F27" i="2"/>
  <c r="E27" i="2"/>
  <c r="D27" i="2"/>
  <c r="C27" i="2"/>
  <c r="F28" i="2"/>
  <c r="E28" i="2"/>
  <c r="D28" i="2"/>
  <c r="C28" i="2"/>
  <c r="F29" i="2"/>
  <c r="E29" i="2"/>
  <c r="D29" i="2"/>
  <c r="C29" i="2"/>
  <c r="F30" i="2"/>
  <c r="E30" i="2"/>
  <c r="D30" i="2"/>
  <c r="C30" i="2"/>
  <c r="F31" i="2"/>
  <c r="E31" i="2"/>
  <c r="D31" i="2"/>
  <c r="C31" i="2"/>
  <c r="F32" i="2"/>
  <c r="E32" i="2"/>
  <c r="D32" i="2"/>
  <c r="C32" i="2"/>
  <c r="F33" i="2"/>
  <c r="E33" i="2"/>
  <c r="D33" i="2"/>
  <c r="C33" i="2"/>
  <c r="F34" i="2"/>
  <c r="E34" i="2"/>
  <c r="D34" i="2"/>
  <c r="C34" i="2"/>
  <c r="F35" i="2"/>
  <c r="E35" i="2"/>
  <c r="D35" i="2"/>
  <c r="C35" i="2"/>
  <c r="F36" i="2"/>
  <c r="E36" i="2"/>
  <c r="D36" i="2"/>
  <c r="C36" i="2"/>
  <c r="F37" i="2"/>
  <c r="E37" i="2"/>
  <c r="D37" i="2"/>
  <c r="C37" i="2"/>
  <c r="F38" i="2"/>
  <c r="E38" i="2"/>
  <c r="D38" i="2"/>
  <c r="C38" i="2"/>
  <c r="F39" i="2"/>
  <c r="E39" i="2"/>
  <c r="D39" i="2"/>
  <c r="C39" i="2"/>
  <c r="F40" i="2"/>
  <c r="E40" i="2"/>
  <c r="D40" i="2"/>
  <c r="C40" i="2"/>
  <c r="F41" i="2"/>
  <c r="E41" i="2"/>
  <c r="D41" i="2"/>
  <c r="C41" i="2"/>
  <c r="F42" i="2"/>
  <c r="E42" i="2"/>
  <c r="D42" i="2"/>
  <c r="C42" i="2"/>
  <c r="F43" i="2"/>
  <c r="E43" i="2"/>
  <c r="D43" i="2"/>
  <c r="C43" i="2"/>
  <c r="F44" i="2"/>
  <c r="E44" i="2"/>
  <c r="D44" i="2"/>
  <c r="C44" i="2"/>
  <c r="F45" i="2"/>
  <c r="E45" i="2"/>
  <c r="D45" i="2"/>
  <c r="C45" i="2"/>
  <c r="F46" i="2"/>
  <c r="E46" i="2"/>
  <c r="D46" i="2"/>
  <c r="C46" i="2"/>
  <c r="F47" i="2"/>
  <c r="E47" i="2"/>
  <c r="D47" i="2"/>
  <c r="C47" i="2"/>
  <c r="F48" i="2"/>
  <c r="E48" i="2"/>
  <c r="D48" i="2"/>
  <c r="C48" i="2"/>
  <c r="F49" i="2"/>
  <c r="E49" i="2"/>
  <c r="D49" i="2"/>
  <c r="C49" i="2"/>
  <c r="F50" i="2"/>
  <c r="E50" i="2"/>
  <c r="D50" i="2"/>
  <c r="C50" i="2"/>
  <c r="F51" i="2"/>
  <c r="E51" i="2"/>
  <c r="D51" i="2"/>
  <c r="C51" i="2"/>
  <c r="F52" i="2"/>
  <c r="E52" i="2"/>
  <c r="D52" i="2"/>
  <c r="C52" i="2"/>
  <c r="F53" i="2"/>
  <c r="E53" i="2"/>
  <c r="D53" i="2"/>
  <c r="C53" i="2"/>
  <c r="F54" i="2"/>
  <c r="E54" i="2"/>
  <c r="D54" i="2"/>
  <c r="C54" i="2"/>
  <c r="G54" i="2" l="1"/>
  <c r="H54" i="2" s="1"/>
  <c r="G47" i="2"/>
  <c r="H47" i="2" s="1"/>
  <c r="G40" i="2"/>
  <c r="H40" i="2" s="1"/>
  <c r="G33" i="2"/>
  <c r="H33" i="2" s="1"/>
  <c r="G26" i="2"/>
  <c r="H26" i="2" s="1"/>
  <c r="G12" i="2"/>
  <c r="H12" i="2" s="1"/>
  <c r="G5" i="2"/>
  <c r="H5" i="2" s="1"/>
  <c r="G49" i="2"/>
  <c r="H49" i="2" s="1"/>
  <c r="G50" i="2"/>
  <c r="H50" i="2" s="1"/>
  <c r="G29" i="2"/>
  <c r="H29" i="2" s="1"/>
  <c r="G8" i="2"/>
  <c r="H8" i="2" s="1"/>
  <c r="G36" i="2"/>
  <c r="H36" i="2" s="1"/>
  <c r="G22" i="2"/>
  <c r="H22" i="2" s="1"/>
  <c r="G15" i="2"/>
  <c r="H15" i="2" s="1"/>
  <c r="G53" i="2"/>
  <c r="H53" i="2" s="1"/>
  <c r="G46" i="2"/>
  <c r="H46" i="2" s="1"/>
  <c r="G39" i="2"/>
  <c r="H39" i="2" s="1"/>
  <c r="G32" i="2"/>
  <c r="H32" i="2" s="1"/>
  <c r="G25" i="2"/>
  <c r="H25" i="2" s="1"/>
  <c r="G18" i="2"/>
  <c r="H18" i="2" s="1"/>
  <c r="G11" i="2"/>
  <c r="H11" i="2" s="1"/>
  <c r="G4" i="2"/>
  <c r="H4" i="2" s="1"/>
  <c r="G42" i="2"/>
  <c r="H42" i="2" s="1"/>
  <c r="G35" i="2"/>
  <c r="H35" i="2" s="1"/>
  <c r="G28" i="2"/>
  <c r="H28" i="2" s="1"/>
  <c r="G21" i="2"/>
  <c r="H21" i="2" s="1"/>
  <c r="G14" i="2"/>
  <c r="H14" i="2" s="1"/>
  <c r="G52" i="2"/>
  <c r="H52" i="2" s="1"/>
  <c r="G45" i="2"/>
  <c r="H45" i="2" s="1"/>
  <c r="G38" i="2"/>
  <c r="H38" i="2" s="1"/>
  <c r="G24" i="2"/>
  <c r="H24" i="2" s="1"/>
  <c r="G17" i="2"/>
  <c r="H17" i="2" s="1"/>
  <c r="G10" i="2"/>
  <c r="H10" i="2" s="1"/>
  <c r="G41" i="2"/>
  <c r="H41" i="2" s="1"/>
  <c r="G27" i="2"/>
  <c r="H27" i="2" s="1"/>
  <c r="G20" i="2"/>
  <c r="H20" i="2" s="1"/>
  <c r="G13" i="2"/>
  <c r="H13" i="2" s="1"/>
  <c r="G6" i="2"/>
  <c r="H6" i="2" s="1"/>
  <c r="G34" i="2"/>
  <c r="H34" i="2" s="1"/>
  <c r="G48" i="2"/>
  <c r="H48" i="2" s="1"/>
  <c r="G51" i="2"/>
  <c r="H51" i="2" s="1"/>
  <c r="G44" i="2"/>
  <c r="H44" i="2" s="1"/>
  <c r="G37" i="2"/>
  <c r="H37" i="2" s="1"/>
  <c r="G30" i="2"/>
  <c r="H30" i="2" s="1"/>
  <c r="G23" i="2"/>
  <c r="H23" i="2" s="1"/>
  <c r="G16" i="2"/>
  <c r="H16" i="2" s="1"/>
  <c r="G9" i="2"/>
  <c r="H9" i="2" s="1"/>
  <c r="G43" i="2"/>
  <c r="H43" i="2" s="1"/>
  <c r="G31" i="2"/>
  <c r="H31" i="2" s="1"/>
  <c r="G19" i="2"/>
  <c r="H19" i="2" s="1"/>
  <c r="G7" i="2"/>
  <c r="H7" i="2" s="1"/>
  <c r="G3" i="2"/>
  <c r="H3" i="2" s="1"/>
  <c r="J16" i="2" l="1"/>
  <c r="J22" i="2" s="1"/>
  <c r="J12" i="2"/>
  <c r="J18" i="2" s="1"/>
  <c r="J15" i="2"/>
  <c r="J21" i="2" s="1"/>
  <c r="J13" i="2"/>
  <c r="J19" i="2" s="1"/>
  <c r="J14" i="2"/>
  <c r="J20" i="2" s="1"/>
  <c r="J24" i="2" l="1"/>
</calcChain>
</file>

<file path=xl/sharedStrings.xml><?xml version="1.0" encoding="utf-8"?>
<sst xmlns="http://schemas.openxmlformats.org/spreadsheetml/2006/main" count="67" uniqueCount="55">
  <si>
    <t>Telink Income Model — Inputs (editable assumptions)</t>
  </si>
  <si>
    <t>Base Salary</t>
  </si>
  <si>
    <t>Base_Annual_Salary_2026</t>
  </si>
  <si>
    <t>Raise_Pct_Jan2027</t>
  </si>
  <si>
    <t>Raise_Pct_Jan2028</t>
  </si>
  <si>
    <t xml:space="preserve"> </t>
  </si>
  <si>
    <t>Raise_Pct_Jan2029</t>
  </si>
  <si>
    <t>Raise_Pct_Jan2030</t>
  </si>
  <si>
    <t>Bonus (months of salary per YEAR; split across Jan &amp; Jul payouts; Senior vs Staff)</t>
  </si>
  <si>
    <t>Senior_Bonus_Months</t>
  </si>
  <si>
    <t>Staff_Bonus_Months</t>
  </si>
  <si>
    <t>Retention</t>
  </si>
  <si>
    <t>Retention_Pct_Senior_2027</t>
  </si>
  <si>
    <t>Retention_Pct_Senior_2028</t>
  </si>
  <si>
    <t>Retention_Pct_Senior_2029</t>
  </si>
  <si>
    <t>Retention_Pct_Staff_2030</t>
  </si>
  <si>
    <t>Sign-on Bonus</t>
  </si>
  <si>
    <t>SignOn_Bonus</t>
  </si>
  <si>
    <t>Net / Take-Home Settings</t>
  </si>
  <si>
    <t>USD_to_EGP</t>
  </si>
  <si>
    <t>Notes / How the model works</t>
  </si>
  <si>
    <t>• Timeline is fixed: Aug 2026 → Dec 2030 (no Timeline inputs).</t>
  </si>
  <si>
    <t>• Senior level applies from Aug 2026 onward. Promotion to Staff applies from Jan 2030 onward.</t>
  </si>
  <si>
    <t>• Base salary: uses Annual_Salary as your (Senior) annual salary. Raises apply each Jan (Raise_Pct_Jan2027/2028/2029/2030) compounded year over year.</t>
  </si>
  <si>
    <t>• Bonus months are defined per year and split equally across the 2 payouts.</t>
  </si>
  <si>
    <t xml:space="preserve">  – January payout covers Jul–Dec of previous year; for Jan 2027 we prorate by 5/6 because employment is Aug–Dec only.</t>
  </si>
  <si>
    <t xml:space="preserve">  – July payout covers Jan–Jun of the same year.</t>
  </si>
  <si>
    <t>• Retention is paid annually in January starting Jan 2027. Senior retention % is per-year for 2027–2029; Staff retention % is used for Jan 2030.</t>
  </si>
  <si>
    <t>• Sign-on is paid once in Aug 2026 (first month of this horizon).</t>
  </si>
  <si>
    <t>• Guaranteed income in this sheet = Base Salary + Retention + Sign-on (excludes Bonus).</t>
  </si>
  <si>
    <t>Level</t>
  </si>
  <si>
    <t>Month</t>
  </si>
  <si>
    <t>Bonus Paid</t>
  </si>
  <si>
    <t>Retention Paid</t>
  </si>
  <si>
    <t>Sign-on Bonus Paid</t>
  </si>
  <si>
    <t>Take-Home Estimate in 2026</t>
  </si>
  <si>
    <t>Take-Home Estimate in 2027</t>
  </si>
  <si>
    <t>Total Take-Home Estimate in All Years</t>
  </si>
  <si>
    <t>Take-Home Estimate in 2028</t>
  </si>
  <si>
    <t>Take-Home Estimate in 2029</t>
  </si>
  <si>
    <t>Staff</t>
  </si>
  <si>
    <t>Take-Home Estimate in 2030</t>
  </si>
  <si>
    <t>Total Gross Monthly Income</t>
  </si>
  <si>
    <t>Total Net Monthly Income</t>
  </si>
  <si>
    <t>Tax_Pct</t>
  </si>
  <si>
    <t>Living_Expenses_EGP_Monthly_2026</t>
  </si>
  <si>
    <t>Living_Expenses_EGP_Monthly_2027</t>
  </si>
  <si>
    <t>Living_Expenses_EGP_Monthly_2028</t>
  </si>
  <si>
    <t>Living_Expenses_EGP_Monthly_2029</t>
  </si>
  <si>
    <t>Living_Expenses_EGP_Monthly_2030</t>
  </si>
  <si>
    <t>Total Net in 2026</t>
  </si>
  <si>
    <t>Total Net in 2027</t>
  </si>
  <si>
    <t>Total Net in 2028</t>
  </si>
  <si>
    <t>Total Net in 2029</t>
  </si>
  <si>
    <t>Total Net in 2030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</si>
</sst>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mmm\ yyyy"/>
    <numFmt numFmtId="165" formatCode="&quot;$&quot;#,##0.00_-"/>
    <numFmt numFmtId="166" formatCode="\$#,##0.00"/>
    <numFmt numFmtId="167" formatCode="&quot;$&quot;#,##0.00"/>
  </numFmts>
  <fonts count="6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2"/>
      <name val="Calibri"/>
      <family val="2"/>
    </font>
    <font>
      <b/>
      <sz val="11"/>
      <name val="Calibri"/>
      <family val="2"/>
    </font>
    <font>
      <b/>
      <sz val="11"/>
      <color rgb="FFFFFFFF"/>
      <name val="Calibri"/>
      <family val="2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8EEF7"/>
      </patternFill>
    </fill>
    <fill>
      <patternFill patternType="solid">
        <fgColor rgb="FFFFF2CC"/>
      </patternFill>
    </fill>
    <fill>
      <patternFill patternType="solid">
        <fgColor rgb="FF1F4E79"/>
      </patternFill>
    </fill>
  </fills>
  <borders count="4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ck">
        <color rgb="FF00000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ck">
        <color indexed="64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29">
    <xf numFmtId="0" fontId="0" fillId="0" borderId="0" xfId="0"/>
    <xf numFmtId="0" fontId="1" fillId="0" borderId="0" xfId="0" applyFont="1"/>
    <xf numFmtId="0" fontId="3" fillId="0" borderId="1" xfId="0" applyFont="1" applyBorder="1"/>
    <xf numFmtId="10" fontId="0" fillId="0" borderId="1" xfId="0" applyNumberFormat="1" applyBorder="1"/>
    <xf numFmtId="0" fontId="0" fillId="0" borderId="0" xfId="0" applyAlignment="1">
      <alignment wrapText="1"/>
    </xf>
    <xf numFmtId="0" fontId="4" fillId="4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166" fontId="0" fillId="0" borderId="1" xfId="0" applyNumberFormat="1" applyBorder="1"/>
    <xf numFmtId="10" fontId="0" fillId="0" borderId="0" xfId="0" applyNumberFormat="1"/>
    <xf numFmtId="2" fontId="0" fillId="0" borderId="0" xfId="0" applyNumberFormat="1"/>
    <xf numFmtId="0" fontId="3" fillId="0" borderId="0" xfId="0" applyFont="1"/>
    <xf numFmtId="167" fontId="0" fillId="0" borderId="0" xfId="0" applyNumberFormat="1" applyAlignment="1">
      <alignment horizontal="center" vertical="center"/>
    </xf>
    <xf numFmtId="0" fontId="2" fillId="3" borderId="0" xfId="0" applyFont="1" applyFill="1"/>
    <xf numFmtId="3" fontId="0" fillId="0" borderId="0" xfId="0" applyNumberFormat="1"/>
    <xf numFmtId="4" fontId="0" fillId="0" borderId="0" xfId="0" applyNumberFormat="1"/>
    <xf numFmtId="166" fontId="0" fillId="0" borderId="0" xfId="0" applyNumberFormat="1" applyAlignment="1">
      <alignment horizontal="center" vertical="center"/>
    </xf>
    <xf numFmtId="0" fontId="2" fillId="2" borderId="0" xfId="0" applyFont="1" applyFill="1" applyAlignment="1">
      <alignment horizontal="left"/>
    </xf>
    <xf numFmtId="0" fontId="0" fillId="0" borderId="0" xfId="0"/>
    <xf numFmtId="2" fontId="0" fillId="0" borderId="0" xfId="1" applyNumberFormat="1" applyFont="1"/>
    <xf numFmtId="0" fontId="4" fillId="4" borderId="1" xfId="0" applyFont="1" applyFill="1" applyBorder="1" applyAlignment="1">
      <alignment horizontal="center" vertical="center"/>
    </xf>
    <xf numFmtId="167" fontId="4" fillId="4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165" fontId="0" fillId="0" borderId="2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Total Monthly Income (Aug 2026 – Dec 2030)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'Monthly Schedule'!$G$1</c:f>
              <c:strCache>
                <c:ptCount val="1"/>
                <c:pt idx="0">
                  <c:v>Total Gross Monthly Income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'Monthly Schedule'!$B$2:$B$54</c:f>
              <c:numCache>
                <c:formatCode>mmm\ yyyy</c:formatCode>
                <c:ptCount val="53"/>
                <c:pt idx="0">
                  <c:v>46235</c:v>
                </c:pt>
                <c:pt idx="1">
                  <c:v>46266</c:v>
                </c:pt>
                <c:pt idx="2">
                  <c:v>46296</c:v>
                </c:pt>
                <c:pt idx="3">
                  <c:v>46327</c:v>
                </c:pt>
                <c:pt idx="4">
                  <c:v>46357</c:v>
                </c:pt>
                <c:pt idx="5">
                  <c:v>46388</c:v>
                </c:pt>
                <c:pt idx="6">
                  <c:v>46419</c:v>
                </c:pt>
                <c:pt idx="7">
                  <c:v>46447</c:v>
                </c:pt>
                <c:pt idx="8">
                  <c:v>46478</c:v>
                </c:pt>
                <c:pt idx="9">
                  <c:v>46508</c:v>
                </c:pt>
                <c:pt idx="10">
                  <c:v>46539</c:v>
                </c:pt>
                <c:pt idx="11">
                  <c:v>46569</c:v>
                </c:pt>
                <c:pt idx="12">
                  <c:v>46600</c:v>
                </c:pt>
                <c:pt idx="13">
                  <c:v>46631</c:v>
                </c:pt>
                <c:pt idx="14">
                  <c:v>46661</c:v>
                </c:pt>
                <c:pt idx="15">
                  <c:v>46692</c:v>
                </c:pt>
                <c:pt idx="16">
                  <c:v>46722</c:v>
                </c:pt>
                <c:pt idx="17">
                  <c:v>46753</c:v>
                </c:pt>
                <c:pt idx="18">
                  <c:v>46784</c:v>
                </c:pt>
                <c:pt idx="19">
                  <c:v>46813</c:v>
                </c:pt>
                <c:pt idx="20">
                  <c:v>46844</c:v>
                </c:pt>
                <c:pt idx="21">
                  <c:v>46874</c:v>
                </c:pt>
                <c:pt idx="22">
                  <c:v>46905</c:v>
                </c:pt>
                <c:pt idx="23">
                  <c:v>46935</c:v>
                </c:pt>
                <c:pt idx="24">
                  <c:v>46966</c:v>
                </c:pt>
                <c:pt idx="25">
                  <c:v>46997</c:v>
                </c:pt>
                <c:pt idx="26">
                  <c:v>47027</c:v>
                </c:pt>
                <c:pt idx="27">
                  <c:v>47058</c:v>
                </c:pt>
                <c:pt idx="28">
                  <c:v>47088</c:v>
                </c:pt>
                <c:pt idx="29">
                  <c:v>47119</c:v>
                </c:pt>
                <c:pt idx="30">
                  <c:v>47150</c:v>
                </c:pt>
                <c:pt idx="31">
                  <c:v>47178</c:v>
                </c:pt>
                <c:pt idx="32">
                  <c:v>47209</c:v>
                </c:pt>
                <c:pt idx="33">
                  <c:v>47239</c:v>
                </c:pt>
                <c:pt idx="34">
                  <c:v>47270</c:v>
                </c:pt>
                <c:pt idx="35">
                  <c:v>47300</c:v>
                </c:pt>
                <c:pt idx="36">
                  <c:v>47331</c:v>
                </c:pt>
                <c:pt idx="37">
                  <c:v>47362</c:v>
                </c:pt>
                <c:pt idx="38">
                  <c:v>47392</c:v>
                </c:pt>
                <c:pt idx="39">
                  <c:v>47423</c:v>
                </c:pt>
                <c:pt idx="40">
                  <c:v>47453</c:v>
                </c:pt>
                <c:pt idx="41">
                  <c:v>47484</c:v>
                </c:pt>
                <c:pt idx="42">
                  <c:v>47515</c:v>
                </c:pt>
                <c:pt idx="43">
                  <c:v>47543</c:v>
                </c:pt>
                <c:pt idx="44">
                  <c:v>47574</c:v>
                </c:pt>
                <c:pt idx="45">
                  <c:v>47604</c:v>
                </c:pt>
                <c:pt idx="46">
                  <c:v>47635</c:v>
                </c:pt>
                <c:pt idx="47">
                  <c:v>47665</c:v>
                </c:pt>
                <c:pt idx="48">
                  <c:v>47696</c:v>
                </c:pt>
                <c:pt idx="49">
                  <c:v>47727</c:v>
                </c:pt>
                <c:pt idx="50">
                  <c:v>47757</c:v>
                </c:pt>
                <c:pt idx="51">
                  <c:v>47788</c:v>
                </c:pt>
                <c:pt idx="52">
                  <c:v>47818</c:v>
                </c:pt>
              </c:numCache>
            </c:numRef>
          </c:cat>
          <c:val>
            <c:numRef>
              <c:f>'Monthly Schedule'!$G$2:$G$54</c:f>
              <c:numCache>
                <c:formatCode>"$"#,##0.00_-</c:formatCode>
                <c:ptCount val="53"/>
                <c:pt idx="0" formatCode="\$#,##0.00">
                  <c:v>3875</c:v>
                </c:pt>
                <c:pt idx="1">
                  <c:v>2583.3333333333335</c:v>
                </c:pt>
                <c:pt idx="2">
                  <c:v>2583.3333333333335</c:v>
                </c:pt>
                <c:pt idx="3">
                  <c:v>2583.3333333333335</c:v>
                </c:pt>
                <c:pt idx="4">
                  <c:v>2583.3333333333335</c:v>
                </c:pt>
                <c:pt idx="5">
                  <c:v>8063.4444444444443</c:v>
                </c:pt>
                <c:pt idx="6">
                  <c:v>2686.6666666666665</c:v>
                </c:pt>
                <c:pt idx="7">
                  <c:v>2686.6666666666665</c:v>
                </c:pt>
                <c:pt idx="8">
                  <c:v>2686.6666666666665</c:v>
                </c:pt>
                <c:pt idx="9">
                  <c:v>2686.6666666666665</c:v>
                </c:pt>
                <c:pt idx="10">
                  <c:v>2686.6666666666665</c:v>
                </c:pt>
                <c:pt idx="11">
                  <c:v>5373.333333333333</c:v>
                </c:pt>
                <c:pt idx="12">
                  <c:v>2686.6666666666665</c:v>
                </c:pt>
                <c:pt idx="13">
                  <c:v>2686.6666666666665</c:v>
                </c:pt>
                <c:pt idx="14">
                  <c:v>2686.6666666666665</c:v>
                </c:pt>
                <c:pt idx="15">
                  <c:v>2686.6666666666665</c:v>
                </c:pt>
                <c:pt idx="16">
                  <c:v>2686.6666666666665</c:v>
                </c:pt>
                <c:pt idx="17">
                  <c:v>9129.2933333333349</c:v>
                </c:pt>
                <c:pt idx="18">
                  <c:v>2928.4666666666672</c:v>
                </c:pt>
                <c:pt idx="19">
                  <c:v>2928.4666666666672</c:v>
                </c:pt>
                <c:pt idx="20">
                  <c:v>2928.4666666666672</c:v>
                </c:pt>
                <c:pt idx="21">
                  <c:v>2928.4666666666672</c:v>
                </c:pt>
                <c:pt idx="22">
                  <c:v>2928.4666666666672</c:v>
                </c:pt>
                <c:pt idx="23">
                  <c:v>5856.9333333333343</c:v>
                </c:pt>
                <c:pt idx="24">
                  <c:v>2928.4666666666672</c:v>
                </c:pt>
                <c:pt idx="25">
                  <c:v>2928.4666666666672</c:v>
                </c:pt>
                <c:pt idx="26">
                  <c:v>2928.4666666666672</c:v>
                </c:pt>
                <c:pt idx="27">
                  <c:v>2928.4666666666672</c:v>
                </c:pt>
                <c:pt idx="28">
                  <c:v>2928.4666666666672</c:v>
                </c:pt>
                <c:pt idx="29">
                  <c:v>9950.9297333333361</c:v>
                </c:pt>
                <c:pt idx="30">
                  <c:v>3192.0286666666675</c:v>
                </c:pt>
                <c:pt idx="31">
                  <c:v>3192.0286666666675</c:v>
                </c:pt>
                <c:pt idx="32">
                  <c:v>3192.0286666666675</c:v>
                </c:pt>
                <c:pt idx="33">
                  <c:v>3192.0286666666675</c:v>
                </c:pt>
                <c:pt idx="34">
                  <c:v>3192.0286666666675</c:v>
                </c:pt>
                <c:pt idx="35">
                  <c:v>6384.057333333335</c:v>
                </c:pt>
                <c:pt idx="36">
                  <c:v>3192.0286666666675</c:v>
                </c:pt>
                <c:pt idx="37">
                  <c:v>3192.0286666666675</c:v>
                </c:pt>
                <c:pt idx="38">
                  <c:v>3192.0286666666675</c:v>
                </c:pt>
                <c:pt idx="39">
                  <c:v>3192.0286666666675</c:v>
                </c:pt>
                <c:pt idx="40">
                  <c:v>3192.0286666666675</c:v>
                </c:pt>
                <c:pt idx="41">
                  <c:v>13202.230565333339</c:v>
                </c:pt>
                <c:pt idx="42">
                  <c:v>3575.0721066666683</c:v>
                </c:pt>
                <c:pt idx="43">
                  <c:v>3575.0721066666683</c:v>
                </c:pt>
                <c:pt idx="44">
                  <c:v>3575.0721066666683</c:v>
                </c:pt>
                <c:pt idx="45">
                  <c:v>3575.0721066666683</c:v>
                </c:pt>
                <c:pt idx="46">
                  <c:v>3575.0721066666683</c:v>
                </c:pt>
                <c:pt idx="47">
                  <c:v>8937.6802666666699</c:v>
                </c:pt>
                <c:pt idx="48">
                  <c:v>3575.0721066666683</c:v>
                </c:pt>
                <c:pt idx="49">
                  <c:v>3575.0721066666683</c:v>
                </c:pt>
                <c:pt idx="50">
                  <c:v>3575.0721066666683</c:v>
                </c:pt>
                <c:pt idx="51">
                  <c:v>3575.0721066666683</c:v>
                </c:pt>
                <c:pt idx="52">
                  <c:v>3575.0721066666683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953-4349-84A9-0C009FF4F6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date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</a:t>
                </a:r>
              </a:p>
            </c:rich>
          </c:tx>
          <c:overlay val="1"/>
        </c:title>
        <c:numFmt formatCode="mmm\ yyyy" sourceLinked="1"/>
        <c:majorTickMark val="none"/>
        <c:minorTickMark val="none"/>
        <c:tickLblPos val="nextTo"/>
        <c:crossAx val="100"/>
        <c:crosses val="autoZero"/>
        <c:auto val="1"/>
        <c:lblOffset val="100"/>
        <c:baseTimeUnit val="months"/>
      </c:date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Currency</a:t>
                </a:r>
              </a:p>
            </c:rich>
          </c:tx>
          <c:overlay val="1"/>
        </c:title>
        <c:numFmt formatCode="\$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56</xdr:row>
      <xdr:rowOff>0</xdr:rowOff>
    </xdr:from>
    <xdr:ext cx="7920000" cy="32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Personal_Stuff\Study_Plan_and_Interviews_Preparation\Telink_Interview_Process\ADI_Income_Estimation_Model_Aug26_Dec30.xlsx" TargetMode="External"/><Relationship Id="rId1" Type="http://schemas.openxmlformats.org/officeDocument/2006/relationships/externalLinkPath" Target="ADI_Income_Estimation_Model_Aug26_Dec3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puts"/>
      <sheetName val="Monthly Schedule"/>
    </sheetNames>
    <sheetDataSet>
      <sheetData sheetId="0">
        <row r="24">
          <cell r="B24">
            <v>37500</v>
          </cell>
        </row>
        <row r="25">
          <cell r="B25">
            <v>41250</v>
          </cell>
        </row>
        <row r="26">
          <cell r="B26">
            <v>44550</v>
          </cell>
        </row>
        <row r="27">
          <cell r="B27">
            <v>47668.5</v>
          </cell>
        </row>
        <row r="28">
          <cell r="B28">
            <v>50528.61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9"/>
  <sheetViews>
    <sheetView topLeftCell="A3" zoomScale="130" zoomScaleNormal="130" workbookViewId="0">
      <selection activeCell="B14" sqref="B14"/>
    </sheetView>
  </sheetViews>
  <sheetFormatPr defaultRowHeight="14.4" x14ac:dyDescent="0.3"/>
  <cols>
    <col min="1" max="1" width="61.77734375" bestFit="1" customWidth="1"/>
    <col min="2" max="2" width="10" bestFit="1" customWidth="1"/>
    <col min="3" max="3" width="78" customWidth="1"/>
    <col min="6" max="6" width="32.109375" bestFit="1" customWidth="1"/>
  </cols>
  <sheetData>
    <row r="1" spans="1:3" ht="18" customHeight="1" x14ac:dyDescent="0.35">
      <c r="A1" s="1" t="s">
        <v>0</v>
      </c>
    </row>
    <row r="3" spans="1:3" ht="15.6" customHeight="1" x14ac:dyDescent="0.3">
      <c r="A3" s="16" t="s">
        <v>1</v>
      </c>
      <c r="B3" s="17"/>
      <c r="C3" s="17"/>
    </row>
    <row r="4" spans="1:3" x14ac:dyDescent="0.3">
      <c r="A4" s="2" t="s">
        <v>2</v>
      </c>
      <c r="B4" s="7">
        <v>31000</v>
      </c>
    </row>
    <row r="5" spans="1:3" x14ac:dyDescent="0.3">
      <c r="A5" s="2" t="s">
        <v>3</v>
      </c>
      <c r="B5" s="3">
        <v>0.04</v>
      </c>
    </row>
    <row r="6" spans="1:3" x14ac:dyDescent="0.3">
      <c r="A6" s="2" t="s">
        <v>4</v>
      </c>
      <c r="B6" s="3">
        <v>0.09</v>
      </c>
      <c r="C6" t="s">
        <v>5</v>
      </c>
    </row>
    <row r="7" spans="1:3" x14ac:dyDescent="0.3">
      <c r="A7" s="2" t="s">
        <v>6</v>
      </c>
      <c r="B7" s="3">
        <v>0.09</v>
      </c>
    </row>
    <row r="8" spans="1:3" x14ac:dyDescent="0.3">
      <c r="A8" s="2" t="s">
        <v>7</v>
      </c>
      <c r="B8" s="3">
        <v>0.12</v>
      </c>
    </row>
    <row r="9" spans="1:3" ht="15.6" customHeight="1" x14ac:dyDescent="0.3">
      <c r="A9" s="10"/>
      <c r="B9" s="8"/>
    </row>
    <row r="10" spans="1:3" ht="15.6" customHeight="1" x14ac:dyDescent="0.3">
      <c r="A10" s="16" t="s">
        <v>8</v>
      </c>
      <c r="B10" s="17"/>
      <c r="C10" s="17"/>
    </row>
    <row r="11" spans="1:3" ht="15.6" customHeight="1" x14ac:dyDescent="0.3">
      <c r="A11" s="2" t="s">
        <v>9</v>
      </c>
      <c r="B11" s="9">
        <v>2</v>
      </c>
    </row>
    <row r="12" spans="1:3" x14ac:dyDescent="0.3">
      <c r="A12" s="10" t="s">
        <v>10</v>
      </c>
      <c r="B12" s="9">
        <v>3</v>
      </c>
    </row>
    <row r="13" spans="1:3" ht="15.6" customHeight="1" x14ac:dyDescent="0.3">
      <c r="A13" s="16" t="s">
        <v>11</v>
      </c>
      <c r="B13" s="17"/>
      <c r="C13" s="17"/>
    </row>
    <row r="14" spans="1:3" x14ac:dyDescent="0.3">
      <c r="A14" s="10" t="s">
        <v>12</v>
      </c>
      <c r="B14" s="8">
        <v>0.1</v>
      </c>
    </row>
    <row r="15" spans="1:3" ht="15.6" customHeight="1" x14ac:dyDescent="0.3">
      <c r="A15" s="10" t="s">
        <v>13</v>
      </c>
      <c r="B15" s="8">
        <v>0.1</v>
      </c>
    </row>
    <row r="16" spans="1:3" x14ac:dyDescent="0.3">
      <c r="A16" s="10" t="s">
        <v>14</v>
      </c>
      <c r="B16" s="8">
        <v>0.1</v>
      </c>
    </row>
    <row r="17" spans="1:7" ht="15.6" customHeight="1" x14ac:dyDescent="0.3">
      <c r="A17" s="10" t="s">
        <v>15</v>
      </c>
      <c r="B17" s="8">
        <v>0.15</v>
      </c>
    </row>
    <row r="18" spans="1:7" ht="28.95" customHeight="1" x14ac:dyDescent="0.3">
      <c r="A18" s="16" t="s">
        <v>16</v>
      </c>
      <c r="B18" s="17"/>
      <c r="C18" s="17"/>
    </row>
    <row r="19" spans="1:7" ht="15.6" customHeight="1" x14ac:dyDescent="0.3">
      <c r="A19" s="2" t="s">
        <v>17</v>
      </c>
      <c r="B19" s="7">
        <f>31000*0.1*5/12</f>
        <v>1291.6666666666667</v>
      </c>
    </row>
    <row r="22" spans="1:7" ht="15.6" customHeight="1" x14ac:dyDescent="0.3">
      <c r="A22" s="10" t="s">
        <v>18</v>
      </c>
    </row>
    <row r="23" spans="1:7" ht="28.95" customHeight="1" x14ac:dyDescent="0.3">
      <c r="A23" t="s">
        <v>44</v>
      </c>
      <c r="B23" s="8">
        <v>0.26500000000000001</v>
      </c>
    </row>
    <row r="24" spans="1:7" ht="28.95" customHeight="1" x14ac:dyDescent="0.3">
      <c r="A24" t="s">
        <v>45</v>
      </c>
      <c r="B24" s="13">
        <v>37500</v>
      </c>
      <c r="G24" s="18"/>
    </row>
    <row r="25" spans="1:7" ht="28.95" customHeight="1" x14ac:dyDescent="0.3">
      <c r="A25" t="s">
        <v>46</v>
      </c>
      <c r="B25" s="18">
        <f>Living_Expenses_EGP_Monthly_2026*1.1</f>
        <v>41250</v>
      </c>
      <c r="G25" s="18"/>
    </row>
    <row r="26" spans="1:7" ht="28.95" customHeight="1" x14ac:dyDescent="0.3">
      <c r="A26" t="s">
        <v>47</v>
      </c>
      <c r="B26">
        <f>Living_Expenses_EGP_Monthly_2027*1.08</f>
        <v>44550</v>
      </c>
    </row>
    <row r="27" spans="1:7" ht="28.95" customHeight="1" x14ac:dyDescent="0.3">
      <c r="A27" t="s">
        <v>48</v>
      </c>
      <c r="B27" s="13">
        <f>Living_Expenses_EGP_Monthly_2028*1.07</f>
        <v>47668.5</v>
      </c>
    </row>
    <row r="28" spans="1:7" ht="28.95" customHeight="1" x14ac:dyDescent="0.3">
      <c r="A28" t="s">
        <v>49</v>
      </c>
      <c r="B28" s="13">
        <f>Living_Expenses_EGP_Monthly_2029*1.06</f>
        <v>50528.61</v>
      </c>
    </row>
    <row r="29" spans="1:7" ht="57.6" customHeight="1" x14ac:dyDescent="0.3">
      <c r="A29" t="s">
        <v>19</v>
      </c>
      <c r="B29" s="14">
        <v>52.72</v>
      </c>
    </row>
    <row r="30" spans="1:7" ht="28.95" customHeight="1" x14ac:dyDescent="0.3">
      <c r="A30" s="12" t="s">
        <v>20</v>
      </c>
    </row>
    <row r="31" spans="1:7" ht="43.2" customHeight="1" x14ac:dyDescent="0.3">
      <c r="A31" s="4" t="s">
        <v>21</v>
      </c>
    </row>
    <row r="32" spans="1:7" ht="28.8" x14ac:dyDescent="0.3">
      <c r="A32" s="4" t="s">
        <v>22</v>
      </c>
    </row>
    <row r="33" spans="1:1" ht="43.2" customHeight="1" x14ac:dyDescent="0.3">
      <c r="A33" s="4" t="s">
        <v>23</v>
      </c>
    </row>
    <row r="34" spans="1:1" ht="28.95" customHeight="1" x14ac:dyDescent="0.3">
      <c r="A34" s="4" t="s">
        <v>24</v>
      </c>
    </row>
    <row r="35" spans="1:1" ht="28.95" customHeight="1" x14ac:dyDescent="0.3">
      <c r="A35" s="4" t="s">
        <v>25</v>
      </c>
    </row>
    <row r="36" spans="1:1" x14ac:dyDescent="0.3">
      <c r="A36" s="4" t="s">
        <v>26</v>
      </c>
    </row>
    <row r="37" spans="1:1" ht="43.2" x14ac:dyDescent="0.3">
      <c r="A37" s="4" t="s">
        <v>27</v>
      </c>
    </row>
    <row r="38" spans="1:1" ht="28.8" x14ac:dyDescent="0.3">
      <c r="A38" s="4" t="s">
        <v>28</v>
      </c>
    </row>
    <row r="39" spans="1:1" ht="28.8" x14ac:dyDescent="0.3">
      <c r="A39" s="4" t="s">
        <v>29</v>
      </c>
    </row>
  </sheetData>
  <mergeCells count="4">
    <mergeCell ref="A10:C10"/>
    <mergeCell ref="A13:C13"/>
    <mergeCell ref="A18:C18"/>
    <mergeCell ref="A3:C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55"/>
  <sheetViews>
    <sheetView tabSelected="1" zoomScale="99" zoomScaleNormal="115" workbookViewId="0">
      <pane ySplit="1" topLeftCell="A3" activePane="bottomLeft" state="frozen"/>
      <selection pane="bottomLeft" activeCell="K22" sqref="K18:K22"/>
    </sheetView>
  </sheetViews>
  <sheetFormatPr defaultRowHeight="14.4" x14ac:dyDescent="0.3"/>
  <cols>
    <col min="1" max="1" width="6.21875" style="6" bestFit="1" customWidth="1"/>
    <col min="2" max="2" width="9.109375" style="6" bestFit="1" customWidth="1"/>
    <col min="3" max="3" width="11.109375" style="6" bestFit="1" customWidth="1"/>
    <col min="4" max="4" width="12.109375" style="6" bestFit="1" customWidth="1"/>
    <col min="5" max="5" width="13.5546875" style="6" bestFit="1" customWidth="1"/>
    <col min="6" max="6" width="17.6640625" style="6" bestFit="1" customWidth="1"/>
    <col min="7" max="7" width="25.21875" style="6" bestFit="1" customWidth="1"/>
    <col min="8" max="8" width="23.6640625" style="11" bestFit="1" customWidth="1"/>
    <col min="9" max="9" width="33.33203125" style="6" bestFit="1" customWidth="1"/>
    <col min="10" max="10" width="11.109375" style="6" bestFit="1" customWidth="1"/>
    <col min="11" max="11" width="25.44140625" style="11" customWidth="1"/>
    <col min="12" max="12" width="38.109375" style="6" bestFit="1" customWidth="1"/>
    <col min="13" max="13" width="51.21875" style="6" bestFit="1" customWidth="1"/>
    <col min="14" max="14" width="38.109375" style="6" bestFit="1" customWidth="1"/>
    <col min="15" max="15" width="46.77734375" style="6" bestFit="1" customWidth="1"/>
    <col min="16" max="16" width="50.33203125" style="6" bestFit="1" customWidth="1"/>
  </cols>
  <sheetData>
    <row r="1" spans="1:10" x14ac:dyDescent="0.3">
      <c r="A1" s="19" t="s">
        <v>30</v>
      </c>
      <c r="B1" s="19" t="s">
        <v>31</v>
      </c>
      <c r="C1" s="19" t="s">
        <v>1</v>
      </c>
      <c r="D1" s="19" t="s">
        <v>32</v>
      </c>
      <c r="E1" s="19" t="s">
        <v>33</v>
      </c>
      <c r="F1" s="19" t="s">
        <v>34</v>
      </c>
      <c r="G1" s="19" t="s">
        <v>42</v>
      </c>
      <c r="H1" s="20" t="s">
        <v>43</v>
      </c>
    </row>
    <row r="2" spans="1:10" x14ac:dyDescent="0.3">
      <c r="A2" s="21" t="str">
        <f>IF($B2&lt;DATE(2030,1,1),"Senior","Staff")</f>
        <v>Senior</v>
      </c>
      <c r="B2" s="22">
        <v>46235</v>
      </c>
      <c r="C2" s="23">
        <f>(IF($B2&lt;DATE(2027,1,1),Junior_Annual_Salary,IF($B2&lt;DATE(2028,1,1),Junior_Annual_Salary*(1+Raise_Pct_Jan2027),IF($B2&lt;DATE(2029,1,1),Junior_Annual_Salary*(1+Raise_Pct_Jan2027)*(1+Raise_Pct_Jan2028),IF($B2&lt;DATE(2030,1,1),Junior_Annual_Salary*(1+Raise_Pct_Jan2027)*(1+Raise_Pct_Jan2028)*(1+Raise_Pct_Jan2029),Junior_Annual_Salary*(1+Raise_Pct_Jan2027)*(1+Raise_Pct_Jan2028)*(1+Raise_Pct_Jan2029)*(1+Raise_Pct_Jan2030+Promotion_Pct_Jan2030))))))/12</f>
        <v>2583.3333333333335</v>
      </c>
      <c r="D2" s="23">
        <f>IF(MONTH($B2)=1,(Senior_Bonus_Months/2)*(IF(DATE(YEAR($B2)-1,7,1)&lt;DATE(2027,1,1),Junior_Annual_Salary,IF(DATE(YEAR($B2)-1,7,1)&lt;DATE(2028,1,1),Junior_Annual_Salary*(1+Raise_Pct_Jan2027),IF(DATE(YEAR($B2)-1,7,1)&lt;DATE(2029,1,1),Junior_Annual_Salary*(1+Raise_Pct_Jan2027)*(1+Raise_Pct_Jan2028),IF(DATE(YEAR($B2)-1,7,1)&lt;DATE(2030,1,1),Junior_Annual_Salary*(1+Raise_Pct_Jan2027)*(1+Raise_Pct_Jan2028)*(1+Raise_Pct_Jan2029),Junior_Annual_Salary*(1+Raise_Pct_Jan2027)*(1+Raise_Pct_Jan2028)*(1+Raise_Pct_Jan2029)*(1+Raise_Pct_Jan2030+Promotion_Pct_Jan2030)))))/12)*IF(YEAR($B2)=2027,5/6,1),0)+IF(MONTH($B2)=7,(IF(YEAR($B2)&gt;=2030,Staff_Bonus_Months,Senior_Bonus_Months)/2)*(IF(DATE(YEAR($B2),1,1)&lt;DATE(2027,1,1),Junior_Annual_Salary,IF(DATE(YEAR($B2),1,1)&lt;DATE(2028,1,1),Junior_Annual_Salary*(1+Raise_Pct_Jan2027),IF(DATE(YEAR($B2),1,1)&lt;DATE(2029,1,1),Junior_Annual_Salary*(1+Raise_Pct_Jan2027)*(1+Raise_Pct_Jan2028),IF(DATE(YEAR($B2),1,1)&lt;DATE(2030,1,1),Junior_Annual_Salary*(1+Raise_Pct_Jan2027)*(1+Raise_Pct_Jan2028)*(1+Raise_Pct_Jan2029),Junior_Annual_Salary*(1+Raise_Pct_Jan2027)*(1+Raise_Pct_Jan2028)*(1+Raise_Pct_Jan2029)*(1+Raise_Pct_Jan2030+Promotion_Pct_Jan2030)))))/12),0)</f>
        <v>0</v>
      </c>
      <c r="E2" s="23">
        <f>IF(AND(MONTH($B2)=1,YEAR($B2)&gt;=2027),(IF(DATE(YEAR($B2),1,1)&lt;DATE(2027,1,1),Junior_Annual_Salary,IF(DATE(YEAR($B2),1,1)&lt;DATE(2028,1,1),Junior_Annual_Salary*(1+Raise_Pct_Jan2027),IF(DATE(YEAR($B2),1,1)&lt;DATE(2029,1,1),Junior_Annual_Salary*(1+Raise_Pct_Jan2027)*(1+Raise_Pct_Jan2028),IF(DATE(YEAR($B2),1,1)&lt;DATE(2030,1,1),Junior_Annual_Salary*(1+Raise_Pct_Jan2027)*(1+Raise_Pct_Jan2028)*(1+Raise_Pct_Jan2029),Junior_Annual_Salary*(1+Raise_Pct_Jan2027)*(1+Raise_Pct_Jan2028)*(1+Raise_Pct_Jan2029)*(1+Raise_Pct_Jan2030+Promotion_Pct_Jan2030))))))*(IF(YEAR($B2)=2027,Retention_Pct_Senior_2027,IF(YEAR($B2)=2028,Retention_Pct_Senior_2028,IF(YEAR($B2)=2029,Retention_Pct_Senior_2029,Retention_Pct_Staff_2030)))),0)</f>
        <v>0</v>
      </c>
      <c r="F2" s="23">
        <f>IF($B2=DATE(2026,8,1),SignOn_Bonus,0)</f>
        <v>1291.6666666666667</v>
      </c>
      <c r="G2" s="23">
        <f>SUM(C2:F2)</f>
        <v>3875</v>
      </c>
      <c r="H2" s="11">
        <f>(1-Tax_Pct)*G2</f>
        <v>2848.125</v>
      </c>
    </row>
    <row r="3" spans="1:10" x14ac:dyDescent="0.3">
      <c r="A3" s="21" t="str">
        <f t="shared" ref="A3:A42" si="0">"Senior"</f>
        <v>Senior</v>
      </c>
      <c r="B3" s="22">
        <f>EDATE($B$2,1)</f>
        <v>46266</v>
      </c>
      <c r="C3" s="24">
        <f>IF($B3&lt;DATE(2027,1,1),Junior_Annual_Salary,IF($B3&lt;DATE(2028,1,1),Junior_Annual_Salary*(1+Raise_Pct_Jan2027),IF($B3&lt;DATE(2029,1,1),Junior_Annual_Salary*(1+Raise_Pct_Jan2027)*(1+Raise_Pct_Jan2028),IF($B3&lt;DATE(2030,1,1),Junior_Annual_Salary*(1+Raise_Pct_Jan2027)*(1+Raise_Pct_Jan2028)*(1+Raise_Pct_Jan2029),Junior_Annual_Salary*(1+Raise_Pct_Jan2027)*(1+Raise_Pct_Jan2028)*(1+Raise_Pct_Jan2029)*(1+Raise_Pct_Jan2030)))))/12</f>
        <v>2583.3333333333335</v>
      </c>
      <c r="D3" s="24">
        <f>IF(MONTH($B3)=1,(Bonus_Months/2)*(IF(DATE(YEAR($B3)-1,7,1)&lt;DATE(2027,1,1),Junior_Annual_Salary,IF(DATE(YEAR($B3)-1,7,1)&lt;DATE(2028,1,1),Junior_Annual_Salary*(1+Raise_Pct_Jan2027),IF(DATE(YEAR($B3)-1,7,1)&lt;DATE(2029,1,1),Junior_Annual_Salary*(1+Raise_Pct_Jan2027)*(1+Raise_Pct_Jan2028),IF(DATE(YEAR($B3)-1,7,1)&lt;DATE(2030,1,1),Junior_Annual_Salary*(1+Raise_Pct_Jan2027)*(1+Raise_Pct_Jan2028)*(1+Raise_Pct_Jan2029),Junior_Annual_Salary*(1+Raise_Pct_Jan2027)*(1+Raise_Pct_Jan2028)*(1+Raise_Pct_Jan2029)*(1+Raise_Pct_Jan2030)))))/12)*IF(YEAR($B3)=2027,5/6,1),0)+IF(MONTH($B3)=7,(Bonus_Months/2)*(IF(DATE(YEAR($B3),1,1)&lt;DATE(2027,1,1),Junior_Annual_Salary,IF(DATE(YEAR($B3),1,1)&lt;DATE(2028,1,1),Junior_Annual_Salary*(1+Raise_Pct_Jan2027),IF(DATE(YEAR($B3),1,1)&lt;DATE(2029,1,1),Junior_Annual_Salary*(1+Raise_Pct_Jan2027)*(1+Raise_Pct_Jan2028),IF(DATE(YEAR($B3),1,1)&lt;DATE(2030,1,1),Junior_Annual_Salary*(1+Raise_Pct_Jan2027)*(1+Raise_Pct_Jan2028)*(1+Raise_Pct_Jan2029),Junior_Annual_Salary*(1+Raise_Pct_Jan2027)*(1+Raise_Pct_Jan2028)*(1+Raise_Pct_Jan2029)*(1+Raise_Pct_Jan2030)))))/12),0)</f>
        <v>0</v>
      </c>
      <c r="E3" s="24">
        <f>IF(AND(MONTH($B3)=1,YEAR($B3)&gt;=2027),IF(DATE(YEAR($B3),1,1)&lt;DATE(2027,1,1),Junior_Annual_Salary,IF(DATE(YEAR($B3),1,1)&lt;DATE(2028,1,1),Junior_Annual_Salary*(1+Raise_Pct_Jan2027),IF(DATE(YEAR($B3),1,1)&lt;DATE(2029,1,1),Junior_Annual_Salary*(1+Raise_Pct_Jan2027)*(1+Raise_Pct_Jan2028),IF(DATE(YEAR($B3),1,1)&lt;DATE(2030,1,1),Junior_Annual_Salary*(1+Raise_Pct_Jan2027)*(1+Raise_Pct_Jan2028)*(1+Raise_Pct_Jan2029),Junior_Annual_Salary*(1+Raise_Pct_Jan2027)*(1+Raise_Pct_Jan2028)*(1+Raise_Pct_Jan2029)*(1+Raise_Pct_Jan2030)))))*Retention_Pct,0)</f>
        <v>0</v>
      </c>
      <c r="F3" s="24">
        <f>IF($B3=DATE(2026,8,1),SignOn_Bonus,0)</f>
        <v>0</v>
      </c>
      <c r="G3" s="24">
        <f>SUM(C3:F3)</f>
        <v>2583.3333333333335</v>
      </c>
      <c r="H3" s="11">
        <f>(1-Tax_Pct)*G3</f>
        <v>1898.75</v>
      </c>
    </row>
    <row r="4" spans="1:10" x14ac:dyDescent="0.3">
      <c r="A4" s="21" t="str">
        <f t="shared" si="0"/>
        <v>Senior</v>
      </c>
      <c r="B4" s="22">
        <f>EDATE($B$2,2)</f>
        <v>46296</v>
      </c>
      <c r="C4" s="24">
        <f>IF($B4&lt;DATE(2027,1,1),Junior_Annual_Salary,IF($B4&lt;DATE(2028,1,1),Junior_Annual_Salary*(1+Raise_Pct_Jan2027),IF($B4&lt;DATE(2029,1,1),Junior_Annual_Salary*(1+Raise_Pct_Jan2027)*(1+Raise_Pct_Jan2028),IF($B4&lt;DATE(2030,1,1),Junior_Annual_Salary*(1+Raise_Pct_Jan2027)*(1+Raise_Pct_Jan2028)*(1+Raise_Pct_Jan2029),Junior_Annual_Salary*(1+Raise_Pct_Jan2027)*(1+Raise_Pct_Jan2028)*(1+Raise_Pct_Jan2029)*(1+Raise_Pct_Jan2030)))))/12</f>
        <v>2583.3333333333335</v>
      </c>
      <c r="D4" s="24">
        <f>IF(MONTH($B4)=1,(Bonus_Months/2)*(IF(DATE(YEAR($B4)-1,7,1)&lt;DATE(2027,1,1),Junior_Annual_Salary,IF(DATE(YEAR($B4)-1,7,1)&lt;DATE(2028,1,1),Junior_Annual_Salary*(1+Raise_Pct_Jan2027),IF(DATE(YEAR($B4)-1,7,1)&lt;DATE(2029,1,1),Junior_Annual_Salary*(1+Raise_Pct_Jan2027)*(1+Raise_Pct_Jan2028),IF(DATE(YEAR($B4)-1,7,1)&lt;DATE(2030,1,1),Junior_Annual_Salary*(1+Raise_Pct_Jan2027)*(1+Raise_Pct_Jan2028)*(1+Raise_Pct_Jan2029),Junior_Annual_Salary*(1+Raise_Pct_Jan2027)*(1+Raise_Pct_Jan2028)*(1+Raise_Pct_Jan2029)*(1+Raise_Pct_Jan2030)))))/12)*IF(YEAR($B4)=2027,5/6,1),0)+IF(MONTH($B4)=7,(Bonus_Months/2)*(IF(DATE(YEAR($B4),1,1)&lt;DATE(2027,1,1),Junior_Annual_Salary,IF(DATE(YEAR($B4),1,1)&lt;DATE(2028,1,1),Junior_Annual_Salary*(1+Raise_Pct_Jan2027),IF(DATE(YEAR($B4),1,1)&lt;DATE(2029,1,1),Junior_Annual_Salary*(1+Raise_Pct_Jan2027)*(1+Raise_Pct_Jan2028),IF(DATE(YEAR($B4),1,1)&lt;DATE(2030,1,1),Junior_Annual_Salary*(1+Raise_Pct_Jan2027)*(1+Raise_Pct_Jan2028)*(1+Raise_Pct_Jan2029),Junior_Annual_Salary*(1+Raise_Pct_Jan2027)*(1+Raise_Pct_Jan2028)*(1+Raise_Pct_Jan2029)*(1+Raise_Pct_Jan2030)))))/12),0)</f>
        <v>0</v>
      </c>
      <c r="E4" s="24">
        <f>IF(AND(MONTH($B4)=1,YEAR($B4)&gt;=2027),IF(DATE(YEAR($B4),1,1)&lt;DATE(2027,1,1),Junior_Annual_Salary,IF(DATE(YEAR($B4),1,1)&lt;DATE(2028,1,1),Junior_Annual_Salary*(1+Raise_Pct_Jan2027),IF(DATE(YEAR($B4),1,1)&lt;DATE(2029,1,1),Junior_Annual_Salary*(1+Raise_Pct_Jan2027)*(1+Raise_Pct_Jan2028),IF(DATE(YEAR($B4),1,1)&lt;DATE(2030,1,1),Junior_Annual_Salary*(1+Raise_Pct_Jan2027)*(1+Raise_Pct_Jan2028)*(1+Raise_Pct_Jan2029),Junior_Annual_Salary*(1+Raise_Pct_Jan2027)*(1+Raise_Pct_Jan2028)*(1+Raise_Pct_Jan2029)*(1+Raise_Pct_Jan2030)))))*Retention_Pct,0)</f>
        <v>0</v>
      </c>
      <c r="F4" s="24">
        <f>IF($B4=DATE(2026,8,1),SignOn_Bonus,0)</f>
        <v>0</v>
      </c>
      <c r="G4" s="24">
        <f>SUM(C4:F4)</f>
        <v>2583.3333333333335</v>
      </c>
      <c r="H4" s="11">
        <f>(1-Tax_Pct)*G4</f>
        <v>1898.75</v>
      </c>
    </row>
    <row r="5" spans="1:10" x14ac:dyDescent="0.3">
      <c r="A5" s="21" t="str">
        <f t="shared" si="0"/>
        <v>Senior</v>
      </c>
      <c r="B5" s="22">
        <f>EDATE($B$2,3)</f>
        <v>46327</v>
      </c>
      <c r="C5" s="24">
        <f>IF($B5&lt;DATE(2027,1,1),Junior_Annual_Salary,IF($B5&lt;DATE(2028,1,1),Junior_Annual_Salary*(1+Raise_Pct_Jan2027),IF($B5&lt;DATE(2029,1,1),Junior_Annual_Salary*(1+Raise_Pct_Jan2027)*(1+Raise_Pct_Jan2028),IF($B5&lt;DATE(2030,1,1),Junior_Annual_Salary*(1+Raise_Pct_Jan2027)*(1+Raise_Pct_Jan2028)*(1+Raise_Pct_Jan2029),Junior_Annual_Salary*(1+Raise_Pct_Jan2027)*(1+Raise_Pct_Jan2028)*(1+Raise_Pct_Jan2029)*(1+Raise_Pct_Jan2030)))))/12</f>
        <v>2583.3333333333335</v>
      </c>
      <c r="D5" s="24">
        <f>IF(MONTH($B5)=1,(Bonus_Months/2)*(IF(DATE(YEAR($B5)-1,7,1)&lt;DATE(2027,1,1),Junior_Annual_Salary,IF(DATE(YEAR($B5)-1,7,1)&lt;DATE(2028,1,1),Junior_Annual_Salary*(1+Raise_Pct_Jan2027),IF(DATE(YEAR($B5)-1,7,1)&lt;DATE(2029,1,1),Junior_Annual_Salary*(1+Raise_Pct_Jan2027)*(1+Raise_Pct_Jan2028),IF(DATE(YEAR($B5)-1,7,1)&lt;DATE(2030,1,1),Junior_Annual_Salary*(1+Raise_Pct_Jan2027)*(1+Raise_Pct_Jan2028)*(1+Raise_Pct_Jan2029),Junior_Annual_Salary*(1+Raise_Pct_Jan2027)*(1+Raise_Pct_Jan2028)*(1+Raise_Pct_Jan2029)*(1+Raise_Pct_Jan2030)))))/12)*IF(YEAR($B5)=2027,5/6,1),0)+IF(MONTH($B5)=7,(Bonus_Months/2)*(IF(DATE(YEAR($B5),1,1)&lt;DATE(2027,1,1),Junior_Annual_Salary,IF(DATE(YEAR($B5),1,1)&lt;DATE(2028,1,1),Junior_Annual_Salary*(1+Raise_Pct_Jan2027),IF(DATE(YEAR($B5),1,1)&lt;DATE(2029,1,1),Junior_Annual_Salary*(1+Raise_Pct_Jan2027)*(1+Raise_Pct_Jan2028),IF(DATE(YEAR($B5),1,1)&lt;DATE(2030,1,1),Junior_Annual_Salary*(1+Raise_Pct_Jan2027)*(1+Raise_Pct_Jan2028)*(1+Raise_Pct_Jan2029),Junior_Annual_Salary*(1+Raise_Pct_Jan2027)*(1+Raise_Pct_Jan2028)*(1+Raise_Pct_Jan2029)*(1+Raise_Pct_Jan2030)))))/12),0)</f>
        <v>0</v>
      </c>
      <c r="E5" s="24">
        <f>IF(AND(MONTH($B5)=1,YEAR($B5)&gt;=2027),IF(DATE(YEAR($B5),1,1)&lt;DATE(2027,1,1),Junior_Annual_Salary,IF(DATE(YEAR($B5),1,1)&lt;DATE(2028,1,1),Junior_Annual_Salary*(1+Raise_Pct_Jan2027),IF(DATE(YEAR($B5),1,1)&lt;DATE(2029,1,1),Junior_Annual_Salary*(1+Raise_Pct_Jan2027)*(1+Raise_Pct_Jan2028),IF(DATE(YEAR($B5),1,1)&lt;DATE(2030,1,1),Junior_Annual_Salary*(1+Raise_Pct_Jan2027)*(1+Raise_Pct_Jan2028)*(1+Raise_Pct_Jan2029),Junior_Annual_Salary*(1+Raise_Pct_Jan2027)*(1+Raise_Pct_Jan2028)*(1+Raise_Pct_Jan2029)*(1+Raise_Pct_Jan2030)))))*Retention_Pct,0)</f>
        <v>0</v>
      </c>
      <c r="F5" s="24">
        <f>IF($B5=DATE(2026,8,1),SignOn_Bonus,0)</f>
        <v>0</v>
      </c>
      <c r="G5" s="24">
        <f>SUM(C5:F5)</f>
        <v>2583.3333333333335</v>
      </c>
      <c r="H5" s="11">
        <f>(1-Tax_Pct)*G5</f>
        <v>1898.75</v>
      </c>
    </row>
    <row r="6" spans="1:10" ht="15" customHeight="1" thickBot="1" x14ac:dyDescent="0.35">
      <c r="A6" s="25" t="str">
        <f t="shared" si="0"/>
        <v>Senior</v>
      </c>
      <c r="B6" s="26">
        <f>EDATE($B$2,4)</f>
        <v>46357</v>
      </c>
      <c r="C6" s="27">
        <f>IF($B6&lt;DATE(2027,1,1),Junior_Annual_Salary,IF($B6&lt;DATE(2028,1,1),Junior_Annual_Salary*(1+Raise_Pct_Jan2027),IF($B6&lt;DATE(2029,1,1),Junior_Annual_Salary*(1+Raise_Pct_Jan2027)*(1+Raise_Pct_Jan2028),IF($B6&lt;DATE(2030,1,1),Junior_Annual_Salary*(1+Raise_Pct_Jan2027)*(1+Raise_Pct_Jan2028)*(1+Raise_Pct_Jan2029),Junior_Annual_Salary*(1+Raise_Pct_Jan2027)*(1+Raise_Pct_Jan2028)*(1+Raise_Pct_Jan2029)*(1+Raise_Pct_Jan2030)))))/12</f>
        <v>2583.3333333333335</v>
      </c>
      <c r="D6" s="27">
        <f>IF(MONTH($B6)=1,(Bonus_Months/2)*(IF(DATE(YEAR($B6)-1,7,1)&lt;DATE(2027,1,1),Junior_Annual_Salary,IF(DATE(YEAR($B6)-1,7,1)&lt;DATE(2028,1,1),Junior_Annual_Salary*(1+Raise_Pct_Jan2027),IF(DATE(YEAR($B6)-1,7,1)&lt;DATE(2029,1,1),Junior_Annual_Salary*(1+Raise_Pct_Jan2027)*(1+Raise_Pct_Jan2028),IF(DATE(YEAR($B6)-1,7,1)&lt;DATE(2030,1,1),Junior_Annual_Salary*(1+Raise_Pct_Jan2027)*(1+Raise_Pct_Jan2028)*(1+Raise_Pct_Jan2029),Junior_Annual_Salary*(1+Raise_Pct_Jan2027)*(1+Raise_Pct_Jan2028)*(1+Raise_Pct_Jan2029)*(1+Raise_Pct_Jan2030)))))/12)*IF(YEAR($B6)=2027,5/6,1),0)+IF(MONTH($B6)=7,(Bonus_Months/2)*(IF(DATE(YEAR($B6),1,1)&lt;DATE(2027,1,1),Junior_Annual_Salary,IF(DATE(YEAR($B6),1,1)&lt;DATE(2028,1,1),Junior_Annual_Salary*(1+Raise_Pct_Jan2027),IF(DATE(YEAR($B6),1,1)&lt;DATE(2029,1,1),Junior_Annual_Salary*(1+Raise_Pct_Jan2027)*(1+Raise_Pct_Jan2028),IF(DATE(YEAR($B6),1,1)&lt;DATE(2030,1,1),Junior_Annual_Salary*(1+Raise_Pct_Jan2027)*(1+Raise_Pct_Jan2028)*(1+Raise_Pct_Jan2029),Junior_Annual_Salary*(1+Raise_Pct_Jan2027)*(1+Raise_Pct_Jan2028)*(1+Raise_Pct_Jan2029)*(1+Raise_Pct_Jan2030)))))/12),0)</f>
        <v>0</v>
      </c>
      <c r="E6" s="27">
        <f>IF(AND(MONTH($B6)=1,YEAR($B6)&gt;=2027),IF(DATE(YEAR($B6),1,1)&lt;DATE(2027,1,1),Junior_Annual_Salary,IF(DATE(YEAR($B6),1,1)&lt;DATE(2028,1,1),Junior_Annual_Salary*(1+Raise_Pct_Jan2027),IF(DATE(YEAR($B6),1,1)&lt;DATE(2029,1,1),Junior_Annual_Salary*(1+Raise_Pct_Jan2027)*(1+Raise_Pct_Jan2028),IF(DATE(YEAR($B6),1,1)&lt;DATE(2030,1,1),Junior_Annual_Salary*(1+Raise_Pct_Jan2027)*(1+Raise_Pct_Jan2028)*(1+Raise_Pct_Jan2029),Junior_Annual_Salary*(1+Raise_Pct_Jan2027)*(1+Raise_Pct_Jan2028)*(1+Raise_Pct_Jan2029)*(1+Raise_Pct_Jan2030)))))*Retention_Pct,0)</f>
        <v>0</v>
      </c>
      <c r="F6" s="27">
        <f>IF($B6=DATE(2026,8,1),SignOn_Bonus,0)</f>
        <v>0</v>
      </c>
      <c r="G6" s="27">
        <f>SUM(C6:F6)</f>
        <v>2583.3333333333335</v>
      </c>
      <c r="H6" s="11">
        <f>(1-Tax_Pct)*G6</f>
        <v>1898.75</v>
      </c>
    </row>
    <row r="7" spans="1:10" ht="15" customHeight="1" thickTop="1" x14ac:dyDescent="0.3">
      <c r="A7" s="21" t="str">
        <f t="shared" si="0"/>
        <v>Senior</v>
      </c>
      <c r="B7" s="22">
        <f>EDATE($B$2,5)</f>
        <v>46388</v>
      </c>
      <c r="C7" s="24">
        <f>IF($B7&lt;DATE(2027,1,1),Junior_Annual_Salary,IF($B7&lt;DATE(2028,1,1),Junior_Annual_Salary*(1+Raise_Pct_Jan2027),IF($B7&lt;DATE(2029,1,1),Junior_Annual_Salary*(1+Raise_Pct_Jan2027)*(1+Raise_Pct_Jan2028),IF($B7&lt;DATE(2030,1,1),Junior_Annual_Salary*(1+Raise_Pct_Jan2027)*(1+Raise_Pct_Jan2028)*(1+Raise_Pct_Jan2029),Junior_Annual_Salary*(1+Raise_Pct_Jan2027)*(1+Raise_Pct_Jan2028)*(1+Raise_Pct_Jan2029)*(1+Raise_Pct_Jan2030)))))/12</f>
        <v>2686.6666666666665</v>
      </c>
      <c r="D7" s="24">
        <f>IF(MONTH($B7)=1,(Bonus_Months/2)*(IF(DATE(YEAR($B7)-1,7,1)&lt;DATE(2027,1,1),Junior_Annual_Salary,IF(DATE(YEAR($B7)-1,7,1)&lt;DATE(2028,1,1),Junior_Annual_Salary*(1+Raise_Pct_Jan2027),IF(DATE(YEAR($B7)-1,7,1)&lt;DATE(2029,1,1),Junior_Annual_Salary*(1+Raise_Pct_Jan2027)*(1+Raise_Pct_Jan2028),IF(DATE(YEAR($B7)-1,7,1)&lt;DATE(2030,1,1),Junior_Annual_Salary*(1+Raise_Pct_Jan2027)*(1+Raise_Pct_Jan2028)*(1+Raise_Pct_Jan2029),Junior_Annual_Salary*(1+Raise_Pct_Jan2027)*(1+Raise_Pct_Jan2028)*(1+Raise_Pct_Jan2029)*(1+Raise_Pct_Jan2030)))))/12)*IF(YEAR($B7)=2027,5/6,1),0)+IF(MONTH($B7)=7,(Bonus_Months/2)*(IF(DATE(YEAR($B7),1,1)&lt;DATE(2027,1,1),Junior_Annual_Salary,IF(DATE(YEAR($B7),1,1)&lt;DATE(2028,1,1),Junior_Annual_Salary*(1+Raise_Pct_Jan2027),IF(DATE(YEAR($B7),1,1)&lt;DATE(2029,1,1),Junior_Annual_Salary*(1+Raise_Pct_Jan2027)*(1+Raise_Pct_Jan2028),IF(DATE(YEAR($B7),1,1)&lt;DATE(2030,1,1),Junior_Annual_Salary*(1+Raise_Pct_Jan2027)*(1+Raise_Pct_Jan2028)*(1+Raise_Pct_Jan2029),Junior_Annual_Salary*(1+Raise_Pct_Jan2027)*(1+Raise_Pct_Jan2028)*(1+Raise_Pct_Jan2029)*(1+Raise_Pct_Jan2030)))))/12),0)</f>
        <v>2152.7777777777778</v>
      </c>
      <c r="E7" s="11">
        <f>IF(AND(MONTH($B7)=1,YEAR($B7)&gt;=2027),IF(DATE(YEAR($B7),1,1)&lt;DATE(2027,1,1),Junior_Annual_Salary,IF(DATE(YEAR($B7),1,1)&lt;DATE(2028,1,1),Junior_Annual_Salary*(1+Raise_Pct_Jan2027),IF(DATE(YEAR($B7),1,1)&lt;DATE(2029,1,1),Junior_Annual_Salary*(1+Raise_Pct_Jan2027)*(1+Raise_Pct_Jan2028),IF(DATE(YEAR($B7),1,1)&lt;DATE(2030,1,1),Junior_Annual_Salary*(1+Raise_Pct_Jan2027)*(1+Raise_Pct_Jan2028)*(1+Raise_Pct_Jan2029),Junior_Annual_Salary*(1+Raise_Pct_Jan2027)*(1+Raise_Pct_Jan2028)*(1+Raise_Pct_Jan2029)*(1+Raise_Pct_Jan2030+Promotion_Pct_Jan2030)))))*IF(YEAR($B7)=2027,Retention_Pct_Senior_2027,IF(YEAR($B7)=2028,Retention_Pct_Senior_2028,IF(YEAR($B7)=2029,Retention_Pct_Senior_2029,Retention_Pct_Staff_2030))),0)</f>
        <v>3224</v>
      </c>
      <c r="F7" s="24">
        <f>IF($B7=DATE(2026,8,1),SignOn_Bonus,0)</f>
        <v>0</v>
      </c>
      <c r="G7" s="24">
        <f>SUM(C7:F7)</f>
        <v>8063.4444444444443</v>
      </c>
      <c r="H7" s="11">
        <f>(1-Tax_Pct)*G7</f>
        <v>5926.6316666666662</v>
      </c>
    </row>
    <row r="8" spans="1:10" x14ac:dyDescent="0.3">
      <c r="A8" s="21" t="str">
        <f t="shared" si="0"/>
        <v>Senior</v>
      </c>
      <c r="B8" s="22">
        <f>EDATE($B$2,6)</f>
        <v>46419</v>
      </c>
      <c r="C8" s="24">
        <f>IF($B8&lt;DATE(2027,1,1),Junior_Annual_Salary,IF($B8&lt;DATE(2028,1,1),Junior_Annual_Salary*(1+Raise_Pct_Jan2027),IF($B8&lt;DATE(2029,1,1),Junior_Annual_Salary*(1+Raise_Pct_Jan2027)*(1+Raise_Pct_Jan2028),IF($B8&lt;DATE(2030,1,1),Junior_Annual_Salary*(1+Raise_Pct_Jan2027)*(1+Raise_Pct_Jan2028)*(1+Raise_Pct_Jan2029),Junior_Annual_Salary*(1+Raise_Pct_Jan2027)*(1+Raise_Pct_Jan2028)*(1+Raise_Pct_Jan2029)*(1+Raise_Pct_Jan2030)))))/12</f>
        <v>2686.6666666666665</v>
      </c>
      <c r="D8" s="24">
        <f>IF(MONTH($B8)=1,(Bonus_Months/2)*(IF(DATE(YEAR($B8)-1,7,1)&lt;DATE(2027,1,1),Junior_Annual_Salary,IF(DATE(YEAR($B8)-1,7,1)&lt;DATE(2028,1,1),Junior_Annual_Salary*(1+Raise_Pct_Jan2027),IF(DATE(YEAR($B8)-1,7,1)&lt;DATE(2029,1,1),Junior_Annual_Salary*(1+Raise_Pct_Jan2027)*(1+Raise_Pct_Jan2028),IF(DATE(YEAR($B8)-1,7,1)&lt;DATE(2030,1,1),Junior_Annual_Salary*(1+Raise_Pct_Jan2027)*(1+Raise_Pct_Jan2028)*(1+Raise_Pct_Jan2029),Junior_Annual_Salary*(1+Raise_Pct_Jan2027)*(1+Raise_Pct_Jan2028)*(1+Raise_Pct_Jan2029)*(1+Raise_Pct_Jan2030)))))/12)*IF(YEAR($B8)=2027,5/6,1),0)+IF(MONTH($B8)=7,(Bonus_Months/2)*(IF(DATE(YEAR($B8),1,1)&lt;DATE(2027,1,1),Junior_Annual_Salary,IF(DATE(YEAR($B8),1,1)&lt;DATE(2028,1,1),Junior_Annual_Salary*(1+Raise_Pct_Jan2027),IF(DATE(YEAR($B8),1,1)&lt;DATE(2029,1,1),Junior_Annual_Salary*(1+Raise_Pct_Jan2027)*(1+Raise_Pct_Jan2028),IF(DATE(YEAR($B8),1,1)&lt;DATE(2030,1,1),Junior_Annual_Salary*(1+Raise_Pct_Jan2027)*(1+Raise_Pct_Jan2028)*(1+Raise_Pct_Jan2029),Junior_Annual_Salary*(1+Raise_Pct_Jan2027)*(1+Raise_Pct_Jan2028)*(1+Raise_Pct_Jan2029)*(1+Raise_Pct_Jan2030)))))/12),0)</f>
        <v>0</v>
      </c>
      <c r="E8" s="24">
        <f>IF(AND(MONTH($B8)=1,YEAR($B8)&gt;=2027),IF(DATE(YEAR($B8),1,1)&lt;DATE(2027,1,1),Junior_Annual_Salary,IF(DATE(YEAR($B8),1,1)&lt;DATE(2028,1,1),Junior_Annual_Salary*(1+Raise_Pct_Jan2027),IF(DATE(YEAR($B8),1,1)&lt;DATE(2029,1,1),Junior_Annual_Salary*(1+Raise_Pct_Jan2027)*(1+Raise_Pct_Jan2028),IF(DATE(YEAR($B8),1,1)&lt;DATE(2030,1,1),Junior_Annual_Salary*(1+Raise_Pct_Jan2027)*(1+Raise_Pct_Jan2028)*(1+Raise_Pct_Jan2029),Junior_Annual_Salary*(1+Raise_Pct_Jan2027)*(1+Raise_Pct_Jan2028)*(1+Raise_Pct_Jan2029)*(1+Raise_Pct_Jan2030)))))*Retention_Pct,0)</f>
        <v>0</v>
      </c>
      <c r="F8" s="24">
        <f>IF($B8=DATE(2026,8,1),SignOn_Bonus,0)</f>
        <v>0</v>
      </c>
      <c r="G8" s="24">
        <f>SUM(C8:F8)</f>
        <v>2686.6666666666665</v>
      </c>
      <c r="H8" s="11">
        <f>(1-Tax_Pct)*G8</f>
        <v>1974.6999999999998</v>
      </c>
    </row>
    <row r="9" spans="1:10" x14ac:dyDescent="0.3">
      <c r="A9" s="21" t="str">
        <f t="shared" si="0"/>
        <v>Senior</v>
      </c>
      <c r="B9" s="22">
        <f>EDATE($B$2,7)</f>
        <v>46447</v>
      </c>
      <c r="C9" s="24">
        <f>IF($B9&lt;DATE(2027,1,1),Junior_Annual_Salary,IF($B9&lt;DATE(2028,1,1),Junior_Annual_Salary*(1+Raise_Pct_Jan2027),IF($B9&lt;DATE(2029,1,1),Junior_Annual_Salary*(1+Raise_Pct_Jan2027)*(1+Raise_Pct_Jan2028),IF($B9&lt;DATE(2030,1,1),Junior_Annual_Salary*(1+Raise_Pct_Jan2027)*(1+Raise_Pct_Jan2028)*(1+Raise_Pct_Jan2029),Junior_Annual_Salary*(1+Raise_Pct_Jan2027)*(1+Raise_Pct_Jan2028)*(1+Raise_Pct_Jan2029)*(1+Raise_Pct_Jan2030)))))/12</f>
        <v>2686.6666666666665</v>
      </c>
      <c r="D9" s="24">
        <f>IF(MONTH($B9)=1,(Bonus_Months/2)*(IF(DATE(YEAR($B9)-1,7,1)&lt;DATE(2027,1,1),Junior_Annual_Salary,IF(DATE(YEAR($B9)-1,7,1)&lt;DATE(2028,1,1),Junior_Annual_Salary*(1+Raise_Pct_Jan2027),IF(DATE(YEAR($B9)-1,7,1)&lt;DATE(2029,1,1),Junior_Annual_Salary*(1+Raise_Pct_Jan2027)*(1+Raise_Pct_Jan2028),IF(DATE(YEAR($B9)-1,7,1)&lt;DATE(2030,1,1),Junior_Annual_Salary*(1+Raise_Pct_Jan2027)*(1+Raise_Pct_Jan2028)*(1+Raise_Pct_Jan2029),Junior_Annual_Salary*(1+Raise_Pct_Jan2027)*(1+Raise_Pct_Jan2028)*(1+Raise_Pct_Jan2029)*(1+Raise_Pct_Jan2030)))))/12)*IF(YEAR($B9)=2027,5/6,1),0)+IF(MONTH($B9)=7,(Bonus_Months/2)*(IF(DATE(YEAR($B9),1,1)&lt;DATE(2027,1,1),Junior_Annual_Salary,IF(DATE(YEAR($B9),1,1)&lt;DATE(2028,1,1),Junior_Annual_Salary*(1+Raise_Pct_Jan2027),IF(DATE(YEAR($B9),1,1)&lt;DATE(2029,1,1),Junior_Annual_Salary*(1+Raise_Pct_Jan2027)*(1+Raise_Pct_Jan2028),IF(DATE(YEAR($B9),1,1)&lt;DATE(2030,1,1),Junior_Annual_Salary*(1+Raise_Pct_Jan2027)*(1+Raise_Pct_Jan2028)*(1+Raise_Pct_Jan2029),Junior_Annual_Salary*(1+Raise_Pct_Jan2027)*(1+Raise_Pct_Jan2028)*(1+Raise_Pct_Jan2029)*(1+Raise_Pct_Jan2030)))))/12),0)</f>
        <v>0</v>
      </c>
      <c r="E9" s="24">
        <f>IF(AND(MONTH($B9)=1,YEAR($B9)&gt;=2027),IF(DATE(YEAR($B9),1,1)&lt;DATE(2027,1,1),Junior_Annual_Salary,IF(DATE(YEAR($B9),1,1)&lt;DATE(2028,1,1),Junior_Annual_Salary*(1+Raise_Pct_Jan2027),IF(DATE(YEAR($B9),1,1)&lt;DATE(2029,1,1),Junior_Annual_Salary*(1+Raise_Pct_Jan2027)*(1+Raise_Pct_Jan2028),IF(DATE(YEAR($B9),1,1)&lt;DATE(2030,1,1),Junior_Annual_Salary*(1+Raise_Pct_Jan2027)*(1+Raise_Pct_Jan2028)*(1+Raise_Pct_Jan2029),Junior_Annual_Salary*(1+Raise_Pct_Jan2027)*(1+Raise_Pct_Jan2028)*(1+Raise_Pct_Jan2029)*(1+Raise_Pct_Jan2030)))))*Retention_Pct,0)</f>
        <v>0</v>
      </c>
      <c r="F9" s="24">
        <f>IF($B9=DATE(2026,8,1),SignOn_Bonus,0)</f>
        <v>0</v>
      </c>
      <c r="G9" s="24">
        <f>SUM(C9:F9)</f>
        <v>2686.6666666666665</v>
      </c>
      <c r="H9" s="11">
        <f>(1-Tax_Pct)*G9</f>
        <v>1974.6999999999998</v>
      </c>
    </row>
    <row r="10" spans="1:10" x14ac:dyDescent="0.3">
      <c r="A10" s="21" t="str">
        <f t="shared" si="0"/>
        <v>Senior</v>
      </c>
      <c r="B10" s="22">
        <f>EDATE($B$2,8)</f>
        <v>46478</v>
      </c>
      <c r="C10" s="24">
        <f>IF($B10&lt;DATE(2027,1,1),Junior_Annual_Salary,IF($B10&lt;DATE(2028,1,1),Junior_Annual_Salary*(1+Raise_Pct_Jan2027),IF($B10&lt;DATE(2029,1,1),Junior_Annual_Salary*(1+Raise_Pct_Jan2027)*(1+Raise_Pct_Jan2028),IF($B10&lt;DATE(2030,1,1),Junior_Annual_Salary*(1+Raise_Pct_Jan2027)*(1+Raise_Pct_Jan2028)*(1+Raise_Pct_Jan2029),Junior_Annual_Salary*(1+Raise_Pct_Jan2027)*(1+Raise_Pct_Jan2028)*(1+Raise_Pct_Jan2029)*(1+Raise_Pct_Jan2030)))))/12</f>
        <v>2686.6666666666665</v>
      </c>
      <c r="D10" s="24">
        <f>IF(MONTH($B10)=1,(Bonus_Months/2)*(IF(DATE(YEAR($B10)-1,7,1)&lt;DATE(2027,1,1),Junior_Annual_Salary,IF(DATE(YEAR($B10)-1,7,1)&lt;DATE(2028,1,1),Junior_Annual_Salary*(1+Raise_Pct_Jan2027),IF(DATE(YEAR($B10)-1,7,1)&lt;DATE(2029,1,1),Junior_Annual_Salary*(1+Raise_Pct_Jan2027)*(1+Raise_Pct_Jan2028),IF(DATE(YEAR($B10)-1,7,1)&lt;DATE(2030,1,1),Junior_Annual_Salary*(1+Raise_Pct_Jan2027)*(1+Raise_Pct_Jan2028)*(1+Raise_Pct_Jan2029),Junior_Annual_Salary*(1+Raise_Pct_Jan2027)*(1+Raise_Pct_Jan2028)*(1+Raise_Pct_Jan2029)*(1+Raise_Pct_Jan2030)))))/12)*IF(YEAR($B10)=2027,5/6,1),0)+IF(MONTH($B10)=7,(Bonus_Months/2)*(IF(DATE(YEAR($B10),1,1)&lt;DATE(2027,1,1),Junior_Annual_Salary,IF(DATE(YEAR($B10),1,1)&lt;DATE(2028,1,1),Junior_Annual_Salary*(1+Raise_Pct_Jan2027),IF(DATE(YEAR($B10),1,1)&lt;DATE(2029,1,1),Junior_Annual_Salary*(1+Raise_Pct_Jan2027)*(1+Raise_Pct_Jan2028),IF(DATE(YEAR($B10),1,1)&lt;DATE(2030,1,1),Junior_Annual_Salary*(1+Raise_Pct_Jan2027)*(1+Raise_Pct_Jan2028)*(1+Raise_Pct_Jan2029),Junior_Annual_Salary*(1+Raise_Pct_Jan2027)*(1+Raise_Pct_Jan2028)*(1+Raise_Pct_Jan2029)*(1+Raise_Pct_Jan2030)))))/12),0)</f>
        <v>0</v>
      </c>
      <c r="E10" s="24">
        <f>IF(AND(MONTH($B10)=1,YEAR($B10)&gt;=2027),IF(DATE(YEAR($B10),1,1)&lt;DATE(2027,1,1),Junior_Annual_Salary,IF(DATE(YEAR($B10),1,1)&lt;DATE(2028,1,1),Junior_Annual_Salary*(1+Raise_Pct_Jan2027),IF(DATE(YEAR($B10),1,1)&lt;DATE(2029,1,1),Junior_Annual_Salary*(1+Raise_Pct_Jan2027)*(1+Raise_Pct_Jan2028),IF(DATE(YEAR($B10),1,1)&lt;DATE(2030,1,1),Junior_Annual_Salary*(1+Raise_Pct_Jan2027)*(1+Raise_Pct_Jan2028)*(1+Raise_Pct_Jan2029),Junior_Annual_Salary*(1+Raise_Pct_Jan2027)*(1+Raise_Pct_Jan2028)*(1+Raise_Pct_Jan2029)*(1+Raise_Pct_Jan2030)))))*Retention_Pct,0)</f>
        <v>0</v>
      </c>
      <c r="F10" s="24">
        <f>IF($B10=DATE(2026,8,1),SignOn_Bonus,0)</f>
        <v>0</v>
      </c>
      <c r="G10" s="24">
        <f>SUM(C10:F10)</f>
        <v>2686.6666666666665</v>
      </c>
      <c r="H10" s="11">
        <f>(1-Tax_Pct)*G10</f>
        <v>1974.6999999999998</v>
      </c>
      <c r="J10" s="11"/>
    </row>
    <row r="11" spans="1:10" x14ac:dyDescent="0.3">
      <c r="A11" s="21" t="str">
        <f t="shared" si="0"/>
        <v>Senior</v>
      </c>
      <c r="B11" s="22">
        <f>EDATE($B$2,9)</f>
        <v>46508</v>
      </c>
      <c r="C11" s="24">
        <f>IF($B11&lt;DATE(2027,1,1),Junior_Annual_Salary,IF($B11&lt;DATE(2028,1,1),Junior_Annual_Salary*(1+Raise_Pct_Jan2027),IF($B11&lt;DATE(2029,1,1),Junior_Annual_Salary*(1+Raise_Pct_Jan2027)*(1+Raise_Pct_Jan2028),IF($B11&lt;DATE(2030,1,1),Junior_Annual_Salary*(1+Raise_Pct_Jan2027)*(1+Raise_Pct_Jan2028)*(1+Raise_Pct_Jan2029),Junior_Annual_Salary*(1+Raise_Pct_Jan2027)*(1+Raise_Pct_Jan2028)*(1+Raise_Pct_Jan2029)*(1+Raise_Pct_Jan2030)))))/12</f>
        <v>2686.6666666666665</v>
      </c>
      <c r="D11" s="24">
        <f>IF(MONTH($B11)=1,(Bonus_Months/2)*(IF(DATE(YEAR($B11)-1,7,1)&lt;DATE(2027,1,1),Junior_Annual_Salary,IF(DATE(YEAR($B11)-1,7,1)&lt;DATE(2028,1,1),Junior_Annual_Salary*(1+Raise_Pct_Jan2027),IF(DATE(YEAR($B11)-1,7,1)&lt;DATE(2029,1,1),Junior_Annual_Salary*(1+Raise_Pct_Jan2027)*(1+Raise_Pct_Jan2028),IF(DATE(YEAR($B11)-1,7,1)&lt;DATE(2030,1,1),Junior_Annual_Salary*(1+Raise_Pct_Jan2027)*(1+Raise_Pct_Jan2028)*(1+Raise_Pct_Jan2029),Junior_Annual_Salary*(1+Raise_Pct_Jan2027)*(1+Raise_Pct_Jan2028)*(1+Raise_Pct_Jan2029)*(1+Raise_Pct_Jan2030)))))/12)*IF(YEAR($B11)=2027,5/6,1),0)+IF(MONTH($B11)=7,(Bonus_Months/2)*(IF(DATE(YEAR($B11),1,1)&lt;DATE(2027,1,1),Junior_Annual_Salary,IF(DATE(YEAR($B11),1,1)&lt;DATE(2028,1,1),Junior_Annual_Salary*(1+Raise_Pct_Jan2027),IF(DATE(YEAR($B11),1,1)&lt;DATE(2029,1,1),Junior_Annual_Salary*(1+Raise_Pct_Jan2027)*(1+Raise_Pct_Jan2028),IF(DATE(YEAR($B11),1,1)&lt;DATE(2030,1,1),Junior_Annual_Salary*(1+Raise_Pct_Jan2027)*(1+Raise_Pct_Jan2028)*(1+Raise_Pct_Jan2029),Junior_Annual_Salary*(1+Raise_Pct_Jan2027)*(1+Raise_Pct_Jan2028)*(1+Raise_Pct_Jan2029)*(1+Raise_Pct_Jan2030)))))/12),0)</f>
        <v>0</v>
      </c>
      <c r="E11" s="24">
        <f>IF(AND(MONTH($B11)=1,YEAR($B11)&gt;=2027),IF(DATE(YEAR($B11),1,1)&lt;DATE(2027,1,1),Junior_Annual_Salary,IF(DATE(YEAR($B11),1,1)&lt;DATE(2028,1,1),Junior_Annual_Salary*(1+Raise_Pct_Jan2027),IF(DATE(YEAR($B11),1,1)&lt;DATE(2029,1,1),Junior_Annual_Salary*(1+Raise_Pct_Jan2027)*(1+Raise_Pct_Jan2028),IF(DATE(YEAR($B11),1,1)&lt;DATE(2030,1,1),Junior_Annual_Salary*(1+Raise_Pct_Jan2027)*(1+Raise_Pct_Jan2028)*(1+Raise_Pct_Jan2029),Junior_Annual_Salary*(1+Raise_Pct_Jan2027)*(1+Raise_Pct_Jan2028)*(1+Raise_Pct_Jan2029)*(1+Raise_Pct_Jan2030)))))*Retention_Pct,0)</f>
        <v>0</v>
      </c>
      <c r="F11" s="24">
        <f>IF($B11=DATE(2026,8,1),SignOn_Bonus,0)</f>
        <v>0</v>
      </c>
      <c r="G11" s="24">
        <f>SUM(C11:F11)</f>
        <v>2686.6666666666665</v>
      </c>
      <c r="H11" s="11">
        <f>(1-Tax_Pct)*G11</f>
        <v>1974.6999999999998</v>
      </c>
      <c r="J11" s="11"/>
    </row>
    <row r="12" spans="1:10" x14ac:dyDescent="0.3">
      <c r="A12" s="21" t="str">
        <f t="shared" si="0"/>
        <v>Senior</v>
      </c>
      <c r="B12" s="22">
        <f>EDATE($B$2,10)</f>
        <v>46539</v>
      </c>
      <c r="C12" s="24">
        <f>IF($B12&lt;DATE(2027,1,1),Junior_Annual_Salary,IF($B12&lt;DATE(2028,1,1),Junior_Annual_Salary*(1+Raise_Pct_Jan2027),IF($B12&lt;DATE(2029,1,1),Junior_Annual_Salary*(1+Raise_Pct_Jan2027)*(1+Raise_Pct_Jan2028),IF($B12&lt;DATE(2030,1,1),Junior_Annual_Salary*(1+Raise_Pct_Jan2027)*(1+Raise_Pct_Jan2028)*(1+Raise_Pct_Jan2029),Junior_Annual_Salary*(1+Raise_Pct_Jan2027)*(1+Raise_Pct_Jan2028)*(1+Raise_Pct_Jan2029)*(1+Raise_Pct_Jan2030)))))/12</f>
        <v>2686.6666666666665</v>
      </c>
      <c r="D12" s="24">
        <f>IF(MONTH($B12)=1,(Bonus_Months/2)*(IF(DATE(YEAR($B12)-1,7,1)&lt;DATE(2027,1,1),Junior_Annual_Salary,IF(DATE(YEAR($B12)-1,7,1)&lt;DATE(2028,1,1),Junior_Annual_Salary*(1+Raise_Pct_Jan2027),IF(DATE(YEAR($B12)-1,7,1)&lt;DATE(2029,1,1),Junior_Annual_Salary*(1+Raise_Pct_Jan2027)*(1+Raise_Pct_Jan2028),IF(DATE(YEAR($B12)-1,7,1)&lt;DATE(2030,1,1),Junior_Annual_Salary*(1+Raise_Pct_Jan2027)*(1+Raise_Pct_Jan2028)*(1+Raise_Pct_Jan2029),Junior_Annual_Salary*(1+Raise_Pct_Jan2027)*(1+Raise_Pct_Jan2028)*(1+Raise_Pct_Jan2029)*(1+Raise_Pct_Jan2030)))))/12)*IF(YEAR($B12)=2027,5/6,1),0)+IF(MONTH($B12)=7,(Bonus_Months/2)*(IF(DATE(YEAR($B12),1,1)&lt;DATE(2027,1,1),Junior_Annual_Salary,IF(DATE(YEAR($B12),1,1)&lt;DATE(2028,1,1),Junior_Annual_Salary*(1+Raise_Pct_Jan2027),IF(DATE(YEAR($B12),1,1)&lt;DATE(2029,1,1),Junior_Annual_Salary*(1+Raise_Pct_Jan2027)*(1+Raise_Pct_Jan2028),IF(DATE(YEAR($B12),1,1)&lt;DATE(2030,1,1),Junior_Annual_Salary*(1+Raise_Pct_Jan2027)*(1+Raise_Pct_Jan2028)*(1+Raise_Pct_Jan2029),Junior_Annual_Salary*(1+Raise_Pct_Jan2027)*(1+Raise_Pct_Jan2028)*(1+Raise_Pct_Jan2029)*(1+Raise_Pct_Jan2030)))))/12),0)</f>
        <v>0</v>
      </c>
      <c r="E12" s="24">
        <f>IF(AND(MONTH($B12)=1,YEAR($B12)&gt;=2027),IF(DATE(YEAR($B12),1,1)&lt;DATE(2027,1,1),Junior_Annual_Salary,IF(DATE(YEAR($B12),1,1)&lt;DATE(2028,1,1),Junior_Annual_Salary*(1+Raise_Pct_Jan2027),IF(DATE(YEAR($B12),1,1)&lt;DATE(2029,1,1),Junior_Annual_Salary*(1+Raise_Pct_Jan2027)*(1+Raise_Pct_Jan2028),IF(DATE(YEAR($B12),1,1)&lt;DATE(2030,1,1),Junior_Annual_Salary*(1+Raise_Pct_Jan2027)*(1+Raise_Pct_Jan2028)*(1+Raise_Pct_Jan2029),Junior_Annual_Salary*(1+Raise_Pct_Jan2027)*(1+Raise_Pct_Jan2028)*(1+Raise_Pct_Jan2029)*(1+Raise_Pct_Jan2030)))))*Retention_Pct,0)</f>
        <v>0</v>
      </c>
      <c r="F12" s="24">
        <f>IF($B12=DATE(2026,8,1),SignOn_Bonus,0)</f>
        <v>0</v>
      </c>
      <c r="G12" s="24">
        <f>SUM(C12:F12)</f>
        <v>2686.6666666666665</v>
      </c>
      <c r="H12" s="11">
        <f>(1-Tax_Pct)*G12</f>
        <v>1974.6999999999998</v>
      </c>
      <c r="I12" s="5" t="s">
        <v>50</v>
      </c>
      <c r="J12" s="15">
        <f>SUM(H2:H6)</f>
        <v>10443.125</v>
      </c>
    </row>
    <row r="13" spans="1:10" x14ac:dyDescent="0.3">
      <c r="A13" s="21" t="str">
        <f t="shared" si="0"/>
        <v>Senior</v>
      </c>
      <c r="B13" s="22">
        <f>EDATE($B$2,11)</f>
        <v>46569</v>
      </c>
      <c r="C13" s="24">
        <f>IF($B13&lt;DATE(2027,1,1),Junior_Annual_Salary,IF($B13&lt;DATE(2028,1,1),Junior_Annual_Salary*(1+Raise_Pct_Jan2027),IF($B13&lt;DATE(2029,1,1),Junior_Annual_Salary*(1+Raise_Pct_Jan2027)*(1+Raise_Pct_Jan2028),IF($B13&lt;DATE(2030,1,1),Junior_Annual_Salary*(1+Raise_Pct_Jan2027)*(1+Raise_Pct_Jan2028)*(1+Raise_Pct_Jan2029),Junior_Annual_Salary*(1+Raise_Pct_Jan2027)*(1+Raise_Pct_Jan2028)*(1+Raise_Pct_Jan2029)*(1+Raise_Pct_Jan2030)))))/12</f>
        <v>2686.6666666666665</v>
      </c>
      <c r="D13" s="24">
        <f>IF(MONTH($B13)=1,(Bonus_Months/2)*(IF(DATE(YEAR($B13)-1,7,1)&lt;DATE(2027,1,1),Junior_Annual_Salary,IF(DATE(YEAR($B13)-1,7,1)&lt;DATE(2028,1,1),Junior_Annual_Salary*(1+Raise_Pct_Jan2027),IF(DATE(YEAR($B13)-1,7,1)&lt;DATE(2029,1,1),Junior_Annual_Salary*(1+Raise_Pct_Jan2027)*(1+Raise_Pct_Jan2028),IF(DATE(YEAR($B13)-1,7,1)&lt;DATE(2030,1,1),Junior_Annual_Salary*(1+Raise_Pct_Jan2027)*(1+Raise_Pct_Jan2028)*(1+Raise_Pct_Jan2029),Junior_Annual_Salary*(1+Raise_Pct_Jan2027)*(1+Raise_Pct_Jan2028)*(1+Raise_Pct_Jan2029)*(1+Raise_Pct_Jan2030)))))/12)*IF(YEAR($B13)=2027,5/6,1),0)+IF(MONTH($B13)=7,(Bonus_Months/2)*(IF(DATE(YEAR($B13),1,1)&lt;DATE(2027,1,1),Junior_Annual_Salary,IF(DATE(YEAR($B13),1,1)&lt;DATE(2028,1,1),Junior_Annual_Salary*(1+Raise_Pct_Jan2027),IF(DATE(YEAR($B13),1,1)&lt;DATE(2029,1,1),Junior_Annual_Salary*(1+Raise_Pct_Jan2027)*(1+Raise_Pct_Jan2028),IF(DATE(YEAR($B13),1,1)&lt;DATE(2030,1,1),Junior_Annual_Salary*(1+Raise_Pct_Jan2027)*(1+Raise_Pct_Jan2028)*(1+Raise_Pct_Jan2029),Junior_Annual_Salary*(1+Raise_Pct_Jan2027)*(1+Raise_Pct_Jan2028)*(1+Raise_Pct_Jan2029)*(1+Raise_Pct_Jan2030)))))/12),0)</f>
        <v>2686.6666666666665</v>
      </c>
      <c r="E13" s="24">
        <f>IF(AND(MONTH($B13)=1,YEAR($B13)&gt;=2027),IF(DATE(YEAR($B13),1,1)&lt;DATE(2027,1,1),Junior_Annual_Salary,IF(DATE(YEAR($B13),1,1)&lt;DATE(2028,1,1),Junior_Annual_Salary*(1+Raise_Pct_Jan2027),IF(DATE(YEAR($B13),1,1)&lt;DATE(2029,1,1),Junior_Annual_Salary*(1+Raise_Pct_Jan2027)*(1+Raise_Pct_Jan2028),IF(DATE(YEAR($B13),1,1)&lt;DATE(2030,1,1),Junior_Annual_Salary*(1+Raise_Pct_Jan2027)*(1+Raise_Pct_Jan2028)*(1+Raise_Pct_Jan2029),Junior_Annual_Salary*(1+Raise_Pct_Jan2027)*(1+Raise_Pct_Jan2028)*(1+Raise_Pct_Jan2029)*(1+Raise_Pct_Jan2030)))))*Retention_Pct,0)</f>
        <v>0</v>
      </c>
      <c r="F13" s="24">
        <f>IF($B13=DATE(2026,8,1),SignOn_Bonus,0)</f>
        <v>0</v>
      </c>
      <c r="G13" s="24">
        <f>SUM(C13:F13)</f>
        <v>5373.333333333333</v>
      </c>
      <c r="H13" s="11">
        <f>(1-Tax_Pct)*G13</f>
        <v>3949.3999999999996</v>
      </c>
      <c r="I13" s="5" t="s">
        <v>51</v>
      </c>
      <c r="J13" s="15">
        <f>SUM(H7:H18)</f>
        <v>29623.031666666673</v>
      </c>
    </row>
    <row r="14" spans="1:10" x14ac:dyDescent="0.3">
      <c r="A14" s="21" t="str">
        <f t="shared" si="0"/>
        <v>Senior</v>
      </c>
      <c r="B14" s="22">
        <f>EDATE($B$2,12)</f>
        <v>46600</v>
      </c>
      <c r="C14" s="24">
        <f>IF($B14&lt;DATE(2027,1,1),Junior_Annual_Salary,IF($B14&lt;DATE(2028,1,1),Junior_Annual_Salary*(1+Raise_Pct_Jan2027),IF($B14&lt;DATE(2029,1,1),Junior_Annual_Salary*(1+Raise_Pct_Jan2027)*(1+Raise_Pct_Jan2028),IF($B14&lt;DATE(2030,1,1),Junior_Annual_Salary*(1+Raise_Pct_Jan2027)*(1+Raise_Pct_Jan2028)*(1+Raise_Pct_Jan2029),Junior_Annual_Salary*(1+Raise_Pct_Jan2027)*(1+Raise_Pct_Jan2028)*(1+Raise_Pct_Jan2029)*(1+Raise_Pct_Jan2030)))))/12</f>
        <v>2686.6666666666665</v>
      </c>
      <c r="D14" s="24">
        <f>IF(MONTH($B14)=1,(Bonus_Months/2)*(IF(DATE(YEAR($B14)-1,7,1)&lt;DATE(2027,1,1),Junior_Annual_Salary,IF(DATE(YEAR($B14)-1,7,1)&lt;DATE(2028,1,1),Junior_Annual_Salary*(1+Raise_Pct_Jan2027),IF(DATE(YEAR($B14)-1,7,1)&lt;DATE(2029,1,1),Junior_Annual_Salary*(1+Raise_Pct_Jan2027)*(1+Raise_Pct_Jan2028),IF(DATE(YEAR($B14)-1,7,1)&lt;DATE(2030,1,1),Junior_Annual_Salary*(1+Raise_Pct_Jan2027)*(1+Raise_Pct_Jan2028)*(1+Raise_Pct_Jan2029),Junior_Annual_Salary*(1+Raise_Pct_Jan2027)*(1+Raise_Pct_Jan2028)*(1+Raise_Pct_Jan2029)*(1+Raise_Pct_Jan2030)))))/12)*IF(YEAR($B14)=2027,5/6,1),0)+IF(MONTH($B14)=7,(Bonus_Months/2)*(IF(DATE(YEAR($B14),1,1)&lt;DATE(2027,1,1),Junior_Annual_Salary,IF(DATE(YEAR($B14),1,1)&lt;DATE(2028,1,1),Junior_Annual_Salary*(1+Raise_Pct_Jan2027),IF(DATE(YEAR($B14),1,1)&lt;DATE(2029,1,1),Junior_Annual_Salary*(1+Raise_Pct_Jan2027)*(1+Raise_Pct_Jan2028),IF(DATE(YEAR($B14),1,1)&lt;DATE(2030,1,1),Junior_Annual_Salary*(1+Raise_Pct_Jan2027)*(1+Raise_Pct_Jan2028)*(1+Raise_Pct_Jan2029),Junior_Annual_Salary*(1+Raise_Pct_Jan2027)*(1+Raise_Pct_Jan2028)*(1+Raise_Pct_Jan2029)*(1+Raise_Pct_Jan2030)))))/12),0)</f>
        <v>0</v>
      </c>
      <c r="E14" s="24">
        <f>IF(AND(MONTH($B14)=1,YEAR($B14)&gt;=2027),IF(DATE(YEAR($B14),1,1)&lt;DATE(2027,1,1),Junior_Annual_Salary,IF(DATE(YEAR($B14),1,1)&lt;DATE(2028,1,1),Junior_Annual_Salary*(1+Raise_Pct_Jan2027),IF(DATE(YEAR($B14),1,1)&lt;DATE(2029,1,1),Junior_Annual_Salary*(1+Raise_Pct_Jan2027)*(1+Raise_Pct_Jan2028),IF(DATE(YEAR($B14),1,1)&lt;DATE(2030,1,1),Junior_Annual_Salary*(1+Raise_Pct_Jan2027)*(1+Raise_Pct_Jan2028)*(1+Raise_Pct_Jan2029),Junior_Annual_Salary*(1+Raise_Pct_Jan2027)*(1+Raise_Pct_Jan2028)*(1+Raise_Pct_Jan2029)*(1+Raise_Pct_Jan2030)))))*Retention_Pct,0)</f>
        <v>0</v>
      </c>
      <c r="F14" s="24">
        <f>IF($B14=DATE(2026,8,1),SignOn_Bonus,0)</f>
        <v>0</v>
      </c>
      <c r="G14" s="24">
        <f>SUM(C14:F14)</f>
        <v>2686.6666666666665</v>
      </c>
      <c r="H14" s="11">
        <f>(1-Tax_Pct)*G14</f>
        <v>1974.6999999999998</v>
      </c>
      <c r="I14" s="5" t="s">
        <v>52</v>
      </c>
      <c r="J14" s="15">
        <f>SUM(H19:H30)</f>
        <v>32539.106599999999</v>
      </c>
    </row>
    <row r="15" spans="1:10" x14ac:dyDescent="0.3">
      <c r="A15" s="21" t="str">
        <f t="shared" si="0"/>
        <v>Senior</v>
      </c>
      <c r="B15" s="22">
        <f>EDATE($B$2,13)</f>
        <v>46631</v>
      </c>
      <c r="C15" s="24">
        <f>IF($B15&lt;DATE(2027,1,1),Junior_Annual_Salary,IF($B15&lt;DATE(2028,1,1),Junior_Annual_Salary*(1+Raise_Pct_Jan2027),IF($B15&lt;DATE(2029,1,1),Junior_Annual_Salary*(1+Raise_Pct_Jan2027)*(1+Raise_Pct_Jan2028),IF($B15&lt;DATE(2030,1,1),Junior_Annual_Salary*(1+Raise_Pct_Jan2027)*(1+Raise_Pct_Jan2028)*(1+Raise_Pct_Jan2029),Junior_Annual_Salary*(1+Raise_Pct_Jan2027)*(1+Raise_Pct_Jan2028)*(1+Raise_Pct_Jan2029)*(1+Raise_Pct_Jan2030)))))/12</f>
        <v>2686.6666666666665</v>
      </c>
      <c r="D15" s="24">
        <f>IF(MONTH($B15)=1,(Bonus_Months/2)*(IF(DATE(YEAR($B15)-1,7,1)&lt;DATE(2027,1,1),Junior_Annual_Salary,IF(DATE(YEAR($B15)-1,7,1)&lt;DATE(2028,1,1),Junior_Annual_Salary*(1+Raise_Pct_Jan2027),IF(DATE(YEAR($B15)-1,7,1)&lt;DATE(2029,1,1),Junior_Annual_Salary*(1+Raise_Pct_Jan2027)*(1+Raise_Pct_Jan2028),IF(DATE(YEAR($B15)-1,7,1)&lt;DATE(2030,1,1),Junior_Annual_Salary*(1+Raise_Pct_Jan2027)*(1+Raise_Pct_Jan2028)*(1+Raise_Pct_Jan2029),Junior_Annual_Salary*(1+Raise_Pct_Jan2027)*(1+Raise_Pct_Jan2028)*(1+Raise_Pct_Jan2029)*(1+Raise_Pct_Jan2030)))))/12)*IF(YEAR($B15)=2027,5/6,1),0)+IF(MONTH($B15)=7,(Bonus_Months/2)*(IF(DATE(YEAR($B15),1,1)&lt;DATE(2027,1,1),Junior_Annual_Salary,IF(DATE(YEAR($B15),1,1)&lt;DATE(2028,1,1),Junior_Annual_Salary*(1+Raise_Pct_Jan2027),IF(DATE(YEAR($B15),1,1)&lt;DATE(2029,1,1),Junior_Annual_Salary*(1+Raise_Pct_Jan2027)*(1+Raise_Pct_Jan2028),IF(DATE(YEAR($B15),1,1)&lt;DATE(2030,1,1),Junior_Annual_Salary*(1+Raise_Pct_Jan2027)*(1+Raise_Pct_Jan2028)*(1+Raise_Pct_Jan2029),Junior_Annual_Salary*(1+Raise_Pct_Jan2027)*(1+Raise_Pct_Jan2028)*(1+Raise_Pct_Jan2029)*(1+Raise_Pct_Jan2030)))))/12),0)</f>
        <v>0</v>
      </c>
      <c r="E15" s="24">
        <f>IF(AND(MONTH($B15)=1,YEAR($B15)&gt;=2027),IF(DATE(YEAR($B15),1,1)&lt;DATE(2027,1,1),Junior_Annual_Salary,IF(DATE(YEAR($B15),1,1)&lt;DATE(2028,1,1),Junior_Annual_Salary*(1+Raise_Pct_Jan2027),IF(DATE(YEAR($B15),1,1)&lt;DATE(2029,1,1),Junior_Annual_Salary*(1+Raise_Pct_Jan2027)*(1+Raise_Pct_Jan2028),IF(DATE(YEAR($B15),1,1)&lt;DATE(2030,1,1),Junior_Annual_Salary*(1+Raise_Pct_Jan2027)*(1+Raise_Pct_Jan2028)*(1+Raise_Pct_Jan2029),Junior_Annual_Salary*(1+Raise_Pct_Jan2027)*(1+Raise_Pct_Jan2028)*(1+Raise_Pct_Jan2029)*(1+Raise_Pct_Jan2030)))))*Retention_Pct,0)</f>
        <v>0</v>
      </c>
      <c r="F15" s="24">
        <f>IF($B15=DATE(2026,8,1),SignOn_Bonus,0)</f>
        <v>0</v>
      </c>
      <c r="G15" s="24">
        <f>SUM(C15:F15)</f>
        <v>2686.6666666666665</v>
      </c>
      <c r="H15" s="11">
        <f>(1-Tax_Pct)*G15</f>
        <v>1974.6999999999998</v>
      </c>
      <c r="I15" s="5" t="s">
        <v>53</v>
      </c>
      <c r="J15" s="15">
        <f>SUM(H31:H42)</f>
        <v>35467.626194000011</v>
      </c>
    </row>
    <row r="16" spans="1:10" x14ac:dyDescent="0.3">
      <c r="A16" s="21" t="str">
        <f t="shared" si="0"/>
        <v>Senior</v>
      </c>
      <c r="B16" s="22">
        <f>EDATE($B$2,14)</f>
        <v>46661</v>
      </c>
      <c r="C16" s="24">
        <f>IF($B16&lt;DATE(2027,1,1),Junior_Annual_Salary,IF($B16&lt;DATE(2028,1,1),Junior_Annual_Salary*(1+Raise_Pct_Jan2027),IF($B16&lt;DATE(2029,1,1),Junior_Annual_Salary*(1+Raise_Pct_Jan2027)*(1+Raise_Pct_Jan2028),IF($B16&lt;DATE(2030,1,1),Junior_Annual_Salary*(1+Raise_Pct_Jan2027)*(1+Raise_Pct_Jan2028)*(1+Raise_Pct_Jan2029),Junior_Annual_Salary*(1+Raise_Pct_Jan2027)*(1+Raise_Pct_Jan2028)*(1+Raise_Pct_Jan2029)*(1+Raise_Pct_Jan2030)))))/12</f>
        <v>2686.6666666666665</v>
      </c>
      <c r="D16" s="24">
        <f>IF(MONTH($B16)=1,(Bonus_Months/2)*(IF(DATE(YEAR($B16)-1,7,1)&lt;DATE(2027,1,1),Junior_Annual_Salary,IF(DATE(YEAR($B16)-1,7,1)&lt;DATE(2028,1,1),Junior_Annual_Salary*(1+Raise_Pct_Jan2027),IF(DATE(YEAR($B16)-1,7,1)&lt;DATE(2029,1,1),Junior_Annual_Salary*(1+Raise_Pct_Jan2027)*(1+Raise_Pct_Jan2028),IF(DATE(YEAR($B16)-1,7,1)&lt;DATE(2030,1,1),Junior_Annual_Salary*(1+Raise_Pct_Jan2027)*(1+Raise_Pct_Jan2028)*(1+Raise_Pct_Jan2029),Junior_Annual_Salary*(1+Raise_Pct_Jan2027)*(1+Raise_Pct_Jan2028)*(1+Raise_Pct_Jan2029)*(1+Raise_Pct_Jan2030)))))/12)*IF(YEAR($B16)=2027,5/6,1),0)+IF(MONTH($B16)=7,(Bonus_Months/2)*(IF(DATE(YEAR($B16),1,1)&lt;DATE(2027,1,1),Junior_Annual_Salary,IF(DATE(YEAR($B16),1,1)&lt;DATE(2028,1,1),Junior_Annual_Salary*(1+Raise_Pct_Jan2027),IF(DATE(YEAR($B16),1,1)&lt;DATE(2029,1,1),Junior_Annual_Salary*(1+Raise_Pct_Jan2027)*(1+Raise_Pct_Jan2028),IF(DATE(YEAR($B16),1,1)&lt;DATE(2030,1,1),Junior_Annual_Salary*(1+Raise_Pct_Jan2027)*(1+Raise_Pct_Jan2028)*(1+Raise_Pct_Jan2029),Junior_Annual_Salary*(1+Raise_Pct_Jan2027)*(1+Raise_Pct_Jan2028)*(1+Raise_Pct_Jan2029)*(1+Raise_Pct_Jan2030)))))/12),0)</f>
        <v>0</v>
      </c>
      <c r="E16" s="24">
        <f>IF(AND(MONTH($B16)=1,YEAR($B16)&gt;=2027),IF(DATE(YEAR($B16),1,1)&lt;DATE(2027,1,1),Junior_Annual_Salary,IF(DATE(YEAR($B16),1,1)&lt;DATE(2028,1,1),Junior_Annual_Salary*(1+Raise_Pct_Jan2027),IF(DATE(YEAR($B16),1,1)&lt;DATE(2029,1,1),Junior_Annual_Salary*(1+Raise_Pct_Jan2027)*(1+Raise_Pct_Jan2028),IF(DATE(YEAR($B16),1,1)&lt;DATE(2030,1,1),Junior_Annual_Salary*(1+Raise_Pct_Jan2027)*(1+Raise_Pct_Jan2028)*(1+Raise_Pct_Jan2029),Junior_Annual_Salary*(1+Raise_Pct_Jan2027)*(1+Raise_Pct_Jan2028)*(1+Raise_Pct_Jan2029)*(1+Raise_Pct_Jan2030)))))*Retention_Pct,0)</f>
        <v>0</v>
      </c>
      <c r="F16" s="24">
        <f>IF($B16=DATE(2026,8,1),SignOn_Bonus,0)</f>
        <v>0</v>
      </c>
      <c r="G16" s="24">
        <f>SUM(C16:F16)</f>
        <v>2686.6666666666665</v>
      </c>
      <c r="H16" s="11">
        <f>(1-Tax_Pct)*G16</f>
        <v>1974.6999999999998</v>
      </c>
      <c r="I16" s="5" t="s">
        <v>54</v>
      </c>
      <c r="J16" s="15">
        <f>SUM(H43:H54)</f>
        <v>42549.614445520026</v>
      </c>
    </row>
    <row r="17" spans="1:10" x14ac:dyDescent="0.3">
      <c r="A17" s="21" t="str">
        <f t="shared" si="0"/>
        <v>Senior</v>
      </c>
      <c r="B17" s="22">
        <f>EDATE($B$2,15)</f>
        <v>46692</v>
      </c>
      <c r="C17" s="24">
        <f>IF($B17&lt;DATE(2027,1,1),Junior_Annual_Salary,IF($B17&lt;DATE(2028,1,1),Junior_Annual_Salary*(1+Raise_Pct_Jan2027),IF($B17&lt;DATE(2029,1,1),Junior_Annual_Salary*(1+Raise_Pct_Jan2027)*(1+Raise_Pct_Jan2028),IF($B17&lt;DATE(2030,1,1),Junior_Annual_Salary*(1+Raise_Pct_Jan2027)*(1+Raise_Pct_Jan2028)*(1+Raise_Pct_Jan2029),Junior_Annual_Salary*(1+Raise_Pct_Jan2027)*(1+Raise_Pct_Jan2028)*(1+Raise_Pct_Jan2029)*(1+Raise_Pct_Jan2030)))))/12</f>
        <v>2686.6666666666665</v>
      </c>
      <c r="D17" s="24">
        <f>IF(MONTH($B17)=1,(Bonus_Months/2)*(IF(DATE(YEAR($B17)-1,7,1)&lt;DATE(2027,1,1),Junior_Annual_Salary,IF(DATE(YEAR($B17)-1,7,1)&lt;DATE(2028,1,1),Junior_Annual_Salary*(1+Raise_Pct_Jan2027),IF(DATE(YEAR($B17)-1,7,1)&lt;DATE(2029,1,1),Junior_Annual_Salary*(1+Raise_Pct_Jan2027)*(1+Raise_Pct_Jan2028),IF(DATE(YEAR($B17)-1,7,1)&lt;DATE(2030,1,1),Junior_Annual_Salary*(1+Raise_Pct_Jan2027)*(1+Raise_Pct_Jan2028)*(1+Raise_Pct_Jan2029),Junior_Annual_Salary*(1+Raise_Pct_Jan2027)*(1+Raise_Pct_Jan2028)*(1+Raise_Pct_Jan2029)*(1+Raise_Pct_Jan2030)))))/12)*IF(YEAR($B17)=2027,5/6,1),0)+IF(MONTH($B17)=7,(Bonus_Months/2)*(IF(DATE(YEAR($B17),1,1)&lt;DATE(2027,1,1),Junior_Annual_Salary,IF(DATE(YEAR($B17),1,1)&lt;DATE(2028,1,1),Junior_Annual_Salary*(1+Raise_Pct_Jan2027),IF(DATE(YEAR($B17),1,1)&lt;DATE(2029,1,1),Junior_Annual_Salary*(1+Raise_Pct_Jan2027)*(1+Raise_Pct_Jan2028),IF(DATE(YEAR($B17),1,1)&lt;DATE(2030,1,1),Junior_Annual_Salary*(1+Raise_Pct_Jan2027)*(1+Raise_Pct_Jan2028)*(1+Raise_Pct_Jan2029),Junior_Annual_Salary*(1+Raise_Pct_Jan2027)*(1+Raise_Pct_Jan2028)*(1+Raise_Pct_Jan2029)*(1+Raise_Pct_Jan2030)))))/12),0)</f>
        <v>0</v>
      </c>
      <c r="E17" s="24">
        <f>IF(AND(MONTH($B17)=1,YEAR($B17)&gt;=2027),IF(DATE(YEAR($B17),1,1)&lt;DATE(2027,1,1),Junior_Annual_Salary,IF(DATE(YEAR($B17),1,1)&lt;DATE(2028,1,1),Junior_Annual_Salary*(1+Raise_Pct_Jan2027),IF(DATE(YEAR($B17),1,1)&lt;DATE(2029,1,1),Junior_Annual_Salary*(1+Raise_Pct_Jan2027)*(1+Raise_Pct_Jan2028),IF(DATE(YEAR($B17),1,1)&lt;DATE(2030,1,1),Junior_Annual_Salary*(1+Raise_Pct_Jan2027)*(1+Raise_Pct_Jan2028)*(1+Raise_Pct_Jan2029),Junior_Annual_Salary*(1+Raise_Pct_Jan2027)*(1+Raise_Pct_Jan2028)*(1+Raise_Pct_Jan2029)*(1+Raise_Pct_Jan2030)))))*Retention_Pct,0)</f>
        <v>0</v>
      </c>
      <c r="F17" s="24">
        <f>IF($B17=DATE(2026,8,1),SignOn_Bonus,0)</f>
        <v>0</v>
      </c>
      <c r="G17" s="24">
        <f>SUM(C17:F17)</f>
        <v>2686.6666666666665</v>
      </c>
      <c r="H17" s="11">
        <f>(1-Tax_Pct)*G17</f>
        <v>1974.6999999999998</v>
      </c>
    </row>
    <row r="18" spans="1:10" x14ac:dyDescent="0.3">
      <c r="A18" s="25" t="str">
        <f t="shared" si="0"/>
        <v>Senior</v>
      </c>
      <c r="B18" s="26">
        <f>EDATE($B$2,16)</f>
        <v>46722</v>
      </c>
      <c r="C18" s="27">
        <f>IF($B18&lt;DATE(2027,1,1),Junior_Annual_Salary,IF($B18&lt;DATE(2028,1,1),Junior_Annual_Salary*(1+Raise_Pct_Jan2027),IF($B18&lt;DATE(2029,1,1),Junior_Annual_Salary*(1+Raise_Pct_Jan2027)*(1+Raise_Pct_Jan2028),IF($B18&lt;DATE(2030,1,1),Junior_Annual_Salary*(1+Raise_Pct_Jan2027)*(1+Raise_Pct_Jan2028)*(1+Raise_Pct_Jan2029),Junior_Annual_Salary*(1+Raise_Pct_Jan2027)*(1+Raise_Pct_Jan2028)*(1+Raise_Pct_Jan2029)*(1+Raise_Pct_Jan2030)))))/12</f>
        <v>2686.6666666666665</v>
      </c>
      <c r="D18" s="27">
        <f>IF(MONTH($B18)=1,(Bonus_Months/2)*(IF(DATE(YEAR($B18)-1,7,1)&lt;DATE(2027,1,1),Junior_Annual_Salary,IF(DATE(YEAR($B18)-1,7,1)&lt;DATE(2028,1,1),Junior_Annual_Salary*(1+Raise_Pct_Jan2027),IF(DATE(YEAR($B18)-1,7,1)&lt;DATE(2029,1,1),Junior_Annual_Salary*(1+Raise_Pct_Jan2027)*(1+Raise_Pct_Jan2028),IF(DATE(YEAR($B18)-1,7,1)&lt;DATE(2030,1,1),Junior_Annual_Salary*(1+Raise_Pct_Jan2027)*(1+Raise_Pct_Jan2028)*(1+Raise_Pct_Jan2029),Junior_Annual_Salary*(1+Raise_Pct_Jan2027)*(1+Raise_Pct_Jan2028)*(1+Raise_Pct_Jan2029)*(1+Raise_Pct_Jan2030)))))/12)*IF(YEAR($B18)=2027,5/6,1),0)+IF(MONTH($B18)=7,(Bonus_Months/2)*(IF(DATE(YEAR($B18),1,1)&lt;DATE(2027,1,1),Junior_Annual_Salary,IF(DATE(YEAR($B18),1,1)&lt;DATE(2028,1,1),Junior_Annual_Salary*(1+Raise_Pct_Jan2027),IF(DATE(YEAR($B18),1,1)&lt;DATE(2029,1,1),Junior_Annual_Salary*(1+Raise_Pct_Jan2027)*(1+Raise_Pct_Jan2028),IF(DATE(YEAR($B18),1,1)&lt;DATE(2030,1,1),Junior_Annual_Salary*(1+Raise_Pct_Jan2027)*(1+Raise_Pct_Jan2028)*(1+Raise_Pct_Jan2029),Junior_Annual_Salary*(1+Raise_Pct_Jan2027)*(1+Raise_Pct_Jan2028)*(1+Raise_Pct_Jan2029)*(1+Raise_Pct_Jan2030)))))/12),0)</f>
        <v>0</v>
      </c>
      <c r="E18" s="27">
        <f>IF(AND(MONTH($B18)=1,YEAR($B18)&gt;=2027),IF(DATE(YEAR($B18),1,1)&lt;DATE(2027,1,1),Junior_Annual_Salary,IF(DATE(YEAR($B18),1,1)&lt;DATE(2028,1,1),Junior_Annual_Salary*(1+Raise_Pct_Jan2027),IF(DATE(YEAR($B18),1,1)&lt;DATE(2029,1,1),Junior_Annual_Salary*(1+Raise_Pct_Jan2027)*(1+Raise_Pct_Jan2028),IF(DATE(YEAR($B18),1,1)&lt;DATE(2030,1,1),Junior_Annual_Salary*(1+Raise_Pct_Jan2027)*(1+Raise_Pct_Jan2028)*(1+Raise_Pct_Jan2029),Junior_Annual_Salary*(1+Raise_Pct_Jan2027)*(1+Raise_Pct_Jan2028)*(1+Raise_Pct_Jan2029)*(1+Raise_Pct_Jan2030)))))*Retention_Pct,0)</f>
        <v>0</v>
      </c>
      <c r="F18" s="27">
        <f>IF($B18=DATE(2026,8,1),SignOn_Bonus,0)</f>
        <v>0</v>
      </c>
      <c r="G18" s="27">
        <f>SUM(C18:F18)</f>
        <v>2686.6666666666665</v>
      </c>
      <c r="H18" s="11">
        <f>(1-Tax_Pct)*G18</f>
        <v>1974.6999999999998</v>
      </c>
      <c r="I18" s="5" t="s">
        <v>35</v>
      </c>
      <c r="J18" s="15">
        <f>J12-(Living_Expenses_EGP_Monthly_2026/USD_to_EGP)*5</f>
        <v>6886.5999620637331</v>
      </c>
    </row>
    <row r="19" spans="1:10" x14ac:dyDescent="0.3">
      <c r="A19" s="21" t="str">
        <f t="shared" si="0"/>
        <v>Senior</v>
      </c>
      <c r="B19" s="22">
        <f>EDATE($B$2,17)</f>
        <v>46753</v>
      </c>
      <c r="C19" s="24">
        <f>IF($B19&lt;DATE(2027,1,1),Junior_Annual_Salary,IF($B19&lt;DATE(2028,1,1),Junior_Annual_Salary*(1+Raise_Pct_Jan2027),IF($B19&lt;DATE(2029,1,1),Junior_Annual_Salary*(1+Raise_Pct_Jan2027)*(1+Raise_Pct_Jan2028),IF($B19&lt;DATE(2030,1,1),Junior_Annual_Salary*(1+Raise_Pct_Jan2027)*(1+Raise_Pct_Jan2028)*(1+Raise_Pct_Jan2029),Junior_Annual_Salary*(1+Raise_Pct_Jan2027)*(1+Raise_Pct_Jan2028)*(1+Raise_Pct_Jan2029)*(1+Raise_Pct_Jan2030)))))/12</f>
        <v>2928.4666666666672</v>
      </c>
      <c r="D19" s="24">
        <f>IF(MONTH($B19)=1,(Bonus_Months/2)*(IF(DATE(YEAR($B19)-1,7,1)&lt;DATE(2027,1,1),Junior_Annual_Salary,IF(DATE(YEAR($B19)-1,7,1)&lt;DATE(2028,1,1),Junior_Annual_Salary*(1+Raise_Pct_Jan2027),IF(DATE(YEAR($B19)-1,7,1)&lt;DATE(2029,1,1),Junior_Annual_Salary*(1+Raise_Pct_Jan2027)*(1+Raise_Pct_Jan2028),IF(DATE(YEAR($B19)-1,7,1)&lt;DATE(2030,1,1),Junior_Annual_Salary*(1+Raise_Pct_Jan2027)*(1+Raise_Pct_Jan2028)*(1+Raise_Pct_Jan2029),Junior_Annual_Salary*(1+Raise_Pct_Jan2027)*(1+Raise_Pct_Jan2028)*(1+Raise_Pct_Jan2029)*(1+Raise_Pct_Jan2030)))))/12)*IF(YEAR($B19)=2027,5/6,1),0)+IF(MONTH($B19)=7,(Bonus_Months/2)*(IF(DATE(YEAR($B19),1,1)&lt;DATE(2027,1,1),Junior_Annual_Salary,IF(DATE(YEAR($B19),1,1)&lt;DATE(2028,1,1),Junior_Annual_Salary*(1+Raise_Pct_Jan2027),IF(DATE(YEAR($B19),1,1)&lt;DATE(2029,1,1),Junior_Annual_Salary*(1+Raise_Pct_Jan2027)*(1+Raise_Pct_Jan2028),IF(DATE(YEAR($B19),1,1)&lt;DATE(2030,1,1),Junior_Annual_Salary*(1+Raise_Pct_Jan2027)*(1+Raise_Pct_Jan2028)*(1+Raise_Pct_Jan2029),Junior_Annual_Salary*(1+Raise_Pct_Jan2027)*(1+Raise_Pct_Jan2028)*(1+Raise_Pct_Jan2029)*(1+Raise_Pct_Jan2030)))))/12),0)</f>
        <v>2686.6666666666665</v>
      </c>
      <c r="E19" s="11">
        <f>IF(AND(MONTH($B19)=1,YEAR($B19)&gt;=2027),IF(DATE(YEAR($B19),1,1)&lt;DATE(2027,1,1),Junior_Annual_Salary,IF(DATE(YEAR($B19),1,1)&lt;DATE(2028,1,1),Junior_Annual_Salary*(1+Raise_Pct_Jan2027),IF(DATE(YEAR($B19),1,1)&lt;DATE(2029,1,1),Junior_Annual_Salary*(1+Raise_Pct_Jan2027)*(1+Raise_Pct_Jan2028),IF(DATE(YEAR($B19),1,1)&lt;DATE(2030,1,1),Junior_Annual_Salary*(1+Raise_Pct_Jan2027)*(1+Raise_Pct_Jan2028)*(1+Raise_Pct_Jan2029),Junior_Annual_Salary*(1+Raise_Pct_Jan2027)*(1+Raise_Pct_Jan2028)*(1+Raise_Pct_Jan2029)*(1+Raise_Pct_Jan2030+Promotion_Pct_Jan2030)))))*IF(YEAR($B19)=2027,Retention_Pct_Senior_2027,IF(YEAR($B19)=2028,Retention_Pct_Senior_2028,IF(YEAR($B19)=2029,Retention_Pct_Senior_2029,Retention_Pct_Staff_2030))),0)</f>
        <v>3514.1600000000008</v>
      </c>
      <c r="F19" s="24">
        <f>IF($B19=DATE(2026,8,1),SignOn_Bonus,0)</f>
        <v>0</v>
      </c>
      <c r="G19" s="24">
        <f>SUM(C19:F19)</f>
        <v>9129.2933333333349</v>
      </c>
      <c r="H19" s="11">
        <f>(1-Tax_Pct)*G19</f>
        <v>6710.030600000001</v>
      </c>
      <c r="I19" s="5" t="s">
        <v>36</v>
      </c>
      <c r="J19" s="15">
        <f>J13-(Living_Expenses_EGP_Monthly_2027/USD_to_EGP)*12</f>
        <v>20233.80556651493</v>
      </c>
    </row>
    <row r="20" spans="1:10" x14ac:dyDescent="0.3">
      <c r="A20" s="21" t="str">
        <f t="shared" si="0"/>
        <v>Senior</v>
      </c>
      <c r="B20" s="22">
        <f>EDATE($B$2,18)</f>
        <v>46784</v>
      </c>
      <c r="C20" s="24">
        <f>IF($B20&lt;DATE(2027,1,1),Junior_Annual_Salary,IF($B20&lt;DATE(2028,1,1),Junior_Annual_Salary*(1+Raise_Pct_Jan2027),IF($B20&lt;DATE(2029,1,1),Junior_Annual_Salary*(1+Raise_Pct_Jan2027)*(1+Raise_Pct_Jan2028),IF($B20&lt;DATE(2030,1,1),Junior_Annual_Salary*(1+Raise_Pct_Jan2027)*(1+Raise_Pct_Jan2028)*(1+Raise_Pct_Jan2029),Junior_Annual_Salary*(1+Raise_Pct_Jan2027)*(1+Raise_Pct_Jan2028)*(1+Raise_Pct_Jan2029)*(1+Raise_Pct_Jan2030)))))/12</f>
        <v>2928.4666666666672</v>
      </c>
      <c r="D20" s="24">
        <f>IF(MONTH($B20)=1,(Bonus_Months/2)*(IF(DATE(YEAR($B20)-1,7,1)&lt;DATE(2027,1,1),Junior_Annual_Salary,IF(DATE(YEAR($B20)-1,7,1)&lt;DATE(2028,1,1),Junior_Annual_Salary*(1+Raise_Pct_Jan2027),IF(DATE(YEAR($B20)-1,7,1)&lt;DATE(2029,1,1),Junior_Annual_Salary*(1+Raise_Pct_Jan2027)*(1+Raise_Pct_Jan2028),IF(DATE(YEAR($B20)-1,7,1)&lt;DATE(2030,1,1),Junior_Annual_Salary*(1+Raise_Pct_Jan2027)*(1+Raise_Pct_Jan2028)*(1+Raise_Pct_Jan2029),Junior_Annual_Salary*(1+Raise_Pct_Jan2027)*(1+Raise_Pct_Jan2028)*(1+Raise_Pct_Jan2029)*(1+Raise_Pct_Jan2030)))))/12)*IF(YEAR($B20)=2027,5/6,1),0)+IF(MONTH($B20)=7,(Bonus_Months/2)*(IF(DATE(YEAR($B20),1,1)&lt;DATE(2027,1,1),Junior_Annual_Salary,IF(DATE(YEAR($B20),1,1)&lt;DATE(2028,1,1),Junior_Annual_Salary*(1+Raise_Pct_Jan2027),IF(DATE(YEAR($B20),1,1)&lt;DATE(2029,1,1),Junior_Annual_Salary*(1+Raise_Pct_Jan2027)*(1+Raise_Pct_Jan2028),IF(DATE(YEAR($B20),1,1)&lt;DATE(2030,1,1),Junior_Annual_Salary*(1+Raise_Pct_Jan2027)*(1+Raise_Pct_Jan2028)*(1+Raise_Pct_Jan2029),Junior_Annual_Salary*(1+Raise_Pct_Jan2027)*(1+Raise_Pct_Jan2028)*(1+Raise_Pct_Jan2029)*(1+Raise_Pct_Jan2030)))))/12),0)</f>
        <v>0</v>
      </c>
      <c r="E20" s="24">
        <f>IF(AND(MONTH($B20)=1,YEAR($B20)&gt;=2027),IF(DATE(YEAR($B20),1,1)&lt;DATE(2027,1,1),Junior_Annual_Salary,IF(DATE(YEAR($B20),1,1)&lt;DATE(2028,1,1),Junior_Annual_Salary*(1+Raise_Pct_Jan2027),IF(DATE(YEAR($B20),1,1)&lt;DATE(2029,1,1),Junior_Annual_Salary*(1+Raise_Pct_Jan2027)*(1+Raise_Pct_Jan2028),IF(DATE(YEAR($B20),1,1)&lt;DATE(2030,1,1),Junior_Annual_Salary*(1+Raise_Pct_Jan2027)*(1+Raise_Pct_Jan2028)*(1+Raise_Pct_Jan2029),Junior_Annual_Salary*(1+Raise_Pct_Jan2027)*(1+Raise_Pct_Jan2028)*(1+Raise_Pct_Jan2029)*(1+Raise_Pct_Jan2030)))))*Retention_Pct,0)</f>
        <v>0</v>
      </c>
      <c r="F20" s="24">
        <f>IF($B20=DATE(2026,8,1),SignOn_Bonus,0)</f>
        <v>0</v>
      </c>
      <c r="G20" s="24">
        <f>SUM(C20:F20)</f>
        <v>2928.4666666666672</v>
      </c>
      <c r="H20" s="11">
        <f>(1-Tax_Pct)*G20</f>
        <v>2152.4230000000002</v>
      </c>
      <c r="I20" s="5" t="s">
        <v>38</v>
      </c>
      <c r="J20" s="15">
        <f>J14-(Living_Expenses_EGP_Monthly_2028/USD_to_EGP)*12</f>
        <v>22398.742411836116</v>
      </c>
    </row>
    <row r="21" spans="1:10" x14ac:dyDescent="0.3">
      <c r="A21" s="21" t="str">
        <f t="shared" si="0"/>
        <v>Senior</v>
      </c>
      <c r="B21" s="22">
        <f>EDATE($B$2,19)</f>
        <v>46813</v>
      </c>
      <c r="C21" s="24">
        <f>IF($B21&lt;DATE(2027,1,1),Junior_Annual_Salary,IF($B21&lt;DATE(2028,1,1),Junior_Annual_Salary*(1+Raise_Pct_Jan2027),IF($B21&lt;DATE(2029,1,1),Junior_Annual_Salary*(1+Raise_Pct_Jan2027)*(1+Raise_Pct_Jan2028),IF($B21&lt;DATE(2030,1,1),Junior_Annual_Salary*(1+Raise_Pct_Jan2027)*(1+Raise_Pct_Jan2028)*(1+Raise_Pct_Jan2029),Junior_Annual_Salary*(1+Raise_Pct_Jan2027)*(1+Raise_Pct_Jan2028)*(1+Raise_Pct_Jan2029)*(1+Raise_Pct_Jan2030)))))/12</f>
        <v>2928.4666666666672</v>
      </c>
      <c r="D21" s="24">
        <f>IF(MONTH($B21)=1,(Bonus_Months/2)*(IF(DATE(YEAR($B21)-1,7,1)&lt;DATE(2027,1,1),Junior_Annual_Salary,IF(DATE(YEAR($B21)-1,7,1)&lt;DATE(2028,1,1),Junior_Annual_Salary*(1+Raise_Pct_Jan2027),IF(DATE(YEAR($B21)-1,7,1)&lt;DATE(2029,1,1),Junior_Annual_Salary*(1+Raise_Pct_Jan2027)*(1+Raise_Pct_Jan2028),IF(DATE(YEAR($B21)-1,7,1)&lt;DATE(2030,1,1),Junior_Annual_Salary*(1+Raise_Pct_Jan2027)*(1+Raise_Pct_Jan2028)*(1+Raise_Pct_Jan2029),Junior_Annual_Salary*(1+Raise_Pct_Jan2027)*(1+Raise_Pct_Jan2028)*(1+Raise_Pct_Jan2029)*(1+Raise_Pct_Jan2030)))))/12)*IF(YEAR($B21)=2027,5/6,1),0)+IF(MONTH($B21)=7,(Bonus_Months/2)*(IF(DATE(YEAR($B21),1,1)&lt;DATE(2027,1,1),Junior_Annual_Salary,IF(DATE(YEAR($B21),1,1)&lt;DATE(2028,1,1),Junior_Annual_Salary*(1+Raise_Pct_Jan2027),IF(DATE(YEAR($B21),1,1)&lt;DATE(2029,1,1),Junior_Annual_Salary*(1+Raise_Pct_Jan2027)*(1+Raise_Pct_Jan2028),IF(DATE(YEAR($B21),1,1)&lt;DATE(2030,1,1),Junior_Annual_Salary*(1+Raise_Pct_Jan2027)*(1+Raise_Pct_Jan2028)*(1+Raise_Pct_Jan2029),Junior_Annual_Salary*(1+Raise_Pct_Jan2027)*(1+Raise_Pct_Jan2028)*(1+Raise_Pct_Jan2029)*(1+Raise_Pct_Jan2030)))))/12),0)</f>
        <v>0</v>
      </c>
      <c r="E21" s="24">
        <f>IF(AND(MONTH($B21)=1,YEAR($B21)&gt;=2027),IF(DATE(YEAR($B21),1,1)&lt;DATE(2027,1,1),Junior_Annual_Salary,IF(DATE(YEAR($B21),1,1)&lt;DATE(2028,1,1),Junior_Annual_Salary*(1+Raise_Pct_Jan2027),IF(DATE(YEAR($B21),1,1)&lt;DATE(2029,1,1),Junior_Annual_Salary*(1+Raise_Pct_Jan2027)*(1+Raise_Pct_Jan2028),IF(DATE(YEAR($B21),1,1)&lt;DATE(2030,1,1),Junior_Annual_Salary*(1+Raise_Pct_Jan2027)*(1+Raise_Pct_Jan2028)*(1+Raise_Pct_Jan2029),Junior_Annual_Salary*(1+Raise_Pct_Jan2027)*(1+Raise_Pct_Jan2028)*(1+Raise_Pct_Jan2029)*(1+Raise_Pct_Jan2030)))))*Retention_Pct,0)</f>
        <v>0</v>
      </c>
      <c r="F21" s="24">
        <f>IF($B21=DATE(2026,8,1),SignOn_Bonus,0)</f>
        <v>0</v>
      </c>
      <c r="G21" s="24">
        <f>SUM(C21:F21)</f>
        <v>2928.4666666666672</v>
      </c>
      <c r="H21" s="11">
        <f>(1-Tax_Pct)*G21</f>
        <v>2152.4230000000002</v>
      </c>
      <c r="I21" s="5" t="s">
        <v>39</v>
      </c>
      <c r="J21" s="15">
        <f>J15-(Living_Expenses_EGP_Monthly_2029/USD_to_EGP)*12</f>
        <v>24617.436512664655</v>
      </c>
    </row>
    <row r="22" spans="1:10" x14ac:dyDescent="0.3">
      <c r="A22" s="21" t="str">
        <f t="shared" si="0"/>
        <v>Senior</v>
      </c>
      <c r="B22" s="22">
        <f>EDATE($B$2,20)</f>
        <v>46844</v>
      </c>
      <c r="C22" s="24">
        <f>IF($B22&lt;DATE(2027,1,1),Junior_Annual_Salary,IF($B22&lt;DATE(2028,1,1),Junior_Annual_Salary*(1+Raise_Pct_Jan2027),IF($B22&lt;DATE(2029,1,1),Junior_Annual_Salary*(1+Raise_Pct_Jan2027)*(1+Raise_Pct_Jan2028),IF($B22&lt;DATE(2030,1,1),Junior_Annual_Salary*(1+Raise_Pct_Jan2027)*(1+Raise_Pct_Jan2028)*(1+Raise_Pct_Jan2029),Junior_Annual_Salary*(1+Raise_Pct_Jan2027)*(1+Raise_Pct_Jan2028)*(1+Raise_Pct_Jan2029)*(1+Raise_Pct_Jan2030)))))/12</f>
        <v>2928.4666666666672</v>
      </c>
      <c r="D22" s="24">
        <f>IF(MONTH($B22)=1,(Bonus_Months/2)*(IF(DATE(YEAR($B22)-1,7,1)&lt;DATE(2027,1,1),Junior_Annual_Salary,IF(DATE(YEAR($B22)-1,7,1)&lt;DATE(2028,1,1),Junior_Annual_Salary*(1+Raise_Pct_Jan2027),IF(DATE(YEAR($B22)-1,7,1)&lt;DATE(2029,1,1),Junior_Annual_Salary*(1+Raise_Pct_Jan2027)*(1+Raise_Pct_Jan2028),IF(DATE(YEAR($B22)-1,7,1)&lt;DATE(2030,1,1),Junior_Annual_Salary*(1+Raise_Pct_Jan2027)*(1+Raise_Pct_Jan2028)*(1+Raise_Pct_Jan2029),Junior_Annual_Salary*(1+Raise_Pct_Jan2027)*(1+Raise_Pct_Jan2028)*(1+Raise_Pct_Jan2029)*(1+Raise_Pct_Jan2030)))))/12)*IF(YEAR($B22)=2027,5/6,1),0)+IF(MONTH($B22)=7,(Bonus_Months/2)*(IF(DATE(YEAR($B22),1,1)&lt;DATE(2027,1,1),Junior_Annual_Salary,IF(DATE(YEAR($B22),1,1)&lt;DATE(2028,1,1),Junior_Annual_Salary*(1+Raise_Pct_Jan2027),IF(DATE(YEAR($B22),1,1)&lt;DATE(2029,1,1),Junior_Annual_Salary*(1+Raise_Pct_Jan2027)*(1+Raise_Pct_Jan2028),IF(DATE(YEAR($B22),1,1)&lt;DATE(2030,1,1),Junior_Annual_Salary*(1+Raise_Pct_Jan2027)*(1+Raise_Pct_Jan2028)*(1+Raise_Pct_Jan2029),Junior_Annual_Salary*(1+Raise_Pct_Jan2027)*(1+Raise_Pct_Jan2028)*(1+Raise_Pct_Jan2029)*(1+Raise_Pct_Jan2030)))))/12),0)</f>
        <v>0</v>
      </c>
      <c r="E22" s="24">
        <f>IF(AND(MONTH($B22)=1,YEAR($B22)&gt;=2027),IF(DATE(YEAR($B22),1,1)&lt;DATE(2027,1,1),Junior_Annual_Salary,IF(DATE(YEAR($B22),1,1)&lt;DATE(2028,1,1),Junior_Annual_Salary*(1+Raise_Pct_Jan2027),IF(DATE(YEAR($B22),1,1)&lt;DATE(2029,1,1),Junior_Annual_Salary*(1+Raise_Pct_Jan2027)*(1+Raise_Pct_Jan2028),IF(DATE(YEAR($B22),1,1)&lt;DATE(2030,1,1),Junior_Annual_Salary*(1+Raise_Pct_Jan2027)*(1+Raise_Pct_Jan2028)*(1+Raise_Pct_Jan2029),Junior_Annual_Salary*(1+Raise_Pct_Jan2027)*(1+Raise_Pct_Jan2028)*(1+Raise_Pct_Jan2029)*(1+Raise_Pct_Jan2030)))))*Retention_Pct,0)</f>
        <v>0</v>
      </c>
      <c r="F22" s="24">
        <f>IF($B22=DATE(2026,8,1),SignOn_Bonus,0)</f>
        <v>0</v>
      </c>
      <c r="G22" s="24">
        <f>SUM(C22:F22)</f>
        <v>2928.4666666666672</v>
      </c>
      <c r="H22" s="11">
        <f>(1-Tax_Pct)*G22</f>
        <v>2152.4230000000002</v>
      </c>
      <c r="I22" s="5" t="s">
        <v>41</v>
      </c>
      <c r="J22" s="15">
        <f>J16-(Living_Expenses_EGP_Monthly_2030/USD_to_EGP)*12</f>
        <v>31048.413383304549</v>
      </c>
    </row>
    <row r="23" spans="1:10" x14ac:dyDescent="0.3">
      <c r="A23" s="21" t="str">
        <f t="shared" si="0"/>
        <v>Senior</v>
      </c>
      <c r="B23" s="22">
        <f>EDATE($B$2,21)</f>
        <v>46874</v>
      </c>
      <c r="C23" s="24">
        <f>IF($B23&lt;DATE(2027,1,1),Junior_Annual_Salary,IF($B23&lt;DATE(2028,1,1),Junior_Annual_Salary*(1+Raise_Pct_Jan2027),IF($B23&lt;DATE(2029,1,1),Junior_Annual_Salary*(1+Raise_Pct_Jan2027)*(1+Raise_Pct_Jan2028),IF($B23&lt;DATE(2030,1,1),Junior_Annual_Salary*(1+Raise_Pct_Jan2027)*(1+Raise_Pct_Jan2028)*(1+Raise_Pct_Jan2029),Junior_Annual_Salary*(1+Raise_Pct_Jan2027)*(1+Raise_Pct_Jan2028)*(1+Raise_Pct_Jan2029)*(1+Raise_Pct_Jan2030)))))/12</f>
        <v>2928.4666666666672</v>
      </c>
      <c r="D23" s="24">
        <f>IF(MONTH($B23)=1,(Bonus_Months/2)*(IF(DATE(YEAR($B23)-1,7,1)&lt;DATE(2027,1,1),Junior_Annual_Salary,IF(DATE(YEAR($B23)-1,7,1)&lt;DATE(2028,1,1),Junior_Annual_Salary*(1+Raise_Pct_Jan2027),IF(DATE(YEAR($B23)-1,7,1)&lt;DATE(2029,1,1),Junior_Annual_Salary*(1+Raise_Pct_Jan2027)*(1+Raise_Pct_Jan2028),IF(DATE(YEAR($B23)-1,7,1)&lt;DATE(2030,1,1),Junior_Annual_Salary*(1+Raise_Pct_Jan2027)*(1+Raise_Pct_Jan2028)*(1+Raise_Pct_Jan2029),Junior_Annual_Salary*(1+Raise_Pct_Jan2027)*(1+Raise_Pct_Jan2028)*(1+Raise_Pct_Jan2029)*(1+Raise_Pct_Jan2030)))))/12)*IF(YEAR($B23)=2027,5/6,1),0)+IF(MONTH($B23)=7,(Bonus_Months/2)*(IF(DATE(YEAR($B23),1,1)&lt;DATE(2027,1,1),Junior_Annual_Salary,IF(DATE(YEAR($B23),1,1)&lt;DATE(2028,1,1),Junior_Annual_Salary*(1+Raise_Pct_Jan2027),IF(DATE(YEAR($B23),1,1)&lt;DATE(2029,1,1),Junior_Annual_Salary*(1+Raise_Pct_Jan2027)*(1+Raise_Pct_Jan2028),IF(DATE(YEAR($B23),1,1)&lt;DATE(2030,1,1),Junior_Annual_Salary*(1+Raise_Pct_Jan2027)*(1+Raise_Pct_Jan2028)*(1+Raise_Pct_Jan2029),Junior_Annual_Salary*(1+Raise_Pct_Jan2027)*(1+Raise_Pct_Jan2028)*(1+Raise_Pct_Jan2029)*(1+Raise_Pct_Jan2030)))))/12),0)</f>
        <v>0</v>
      </c>
      <c r="E23" s="24">
        <f>IF(AND(MONTH($B23)=1,YEAR($B23)&gt;=2027),IF(DATE(YEAR($B23),1,1)&lt;DATE(2027,1,1),Junior_Annual_Salary,IF(DATE(YEAR($B23),1,1)&lt;DATE(2028,1,1),Junior_Annual_Salary*(1+Raise_Pct_Jan2027),IF(DATE(YEAR($B23),1,1)&lt;DATE(2029,1,1),Junior_Annual_Salary*(1+Raise_Pct_Jan2027)*(1+Raise_Pct_Jan2028),IF(DATE(YEAR($B23),1,1)&lt;DATE(2030,1,1),Junior_Annual_Salary*(1+Raise_Pct_Jan2027)*(1+Raise_Pct_Jan2028)*(1+Raise_Pct_Jan2029),Junior_Annual_Salary*(1+Raise_Pct_Jan2027)*(1+Raise_Pct_Jan2028)*(1+Raise_Pct_Jan2029)*(1+Raise_Pct_Jan2030)))))*Retention_Pct,0)</f>
        <v>0</v>
      </c>
      <c r="F23" s="24">
        <f>IF($B23=DATE(2026,8,1),SignOn_Bonus,0)</f>
        <v>0</v>
      </c>
      <c r="G23" s="24">
        <f>SUM(C23:F23)</f>
        <v>2928.4666666666672</v>
      </c>
      <c r="H23" s="11">
        <f>(1-Tax_Pct)*G23</f>
        <v>2152.4230000000002</v>
      </c>
      <c r="I23"/>
    </row>
    <row r="24" spans="1:10" x14ac:dyDescent="0.3">
      <c r="A24" s="21" t="str">
        <f t="shared" si="0"/>
        <v>Senior</v>
      </c>
      <c r="B24" s="22">
        <f>EDATE($B$2,22)</f>
        <v>46905</v>
      </c>
      <c r="C24" s="24">
        <f>IF($B24&lt;DATE(2027,1,1),Junior_Annual_Salary,IF($B24&lt;DATE(2028,1,1),Junior_Annual_Salary*(1+Raise_Pct_Jan2027),IF($B24&lt;DATE(2029,1,1),Junior_Annual_Salary*(1+Raise_Pct_Jan2027)*(1+Raise_Pct_Jan2028),IF($B24&lt;DATE(2030,1,1),Junior_Annual_Salary*(1+Raise_Pct_Jan2027)*(1+Raise_Pct_Jan2028)*(1+Raise_Pct_Jan2029),Junior_Annual_Salary*(1+Raise_Pct_Jan2027)*(1+Raise_Pct_Jan2028)*(1+Raise_Pct_Jan2029)*(1+Raise_Pct_Jan2030)))))/12</f>
        <v>2928.4666666666672</v>
      </c>
      <c r="D24" s="24">
        <f>IF(MONTH($B24)=1,(Bonus_Months/2)*(IF(DATE(YEAR($B24)-1,7,1)&lt;DATE(2027,1,1),Junior_Annual_Salary,IF(DATE(YEAR($B24)-1,7,1)&lt;DATE(2028,1,1),Junior_Annual_Salary*(1+Raise_Pct_Jan2027),IF(DATE(YEAR($B24)-1,7,1)&lt;DATE(2029,1,1),Junior_Annual_Salary*(1+Raise_Pct_Jan2027)*(1+Raise_Pct_Jan2028),IF(DATE(YEAR($B24)-1,7,1)&lt;DATE(2030,1,1),Junior_Annual_Salary*(1+Raise_Pct_Jan2027)*(1+Raise_Pct_Jan2028)*(1+Raise_Pct_Jan2029),Junior_Annual_Salary*(1+Raise_Pct_Jan2027)*(1+Raise_Pct_Jan2028)*(1+Raise_Pct_Jan2029)*(1+Raise_Pct_Jan2030)))))/12)*IF(YEAR($B24)=2027,5/6,1),0)+IF(MONTH($B24)=7,(Bonus_Months/2)*(IF(DATE(YEAR($B24),1,1)&lt;DATE(2027,1,1),Junior_Annual_Salary,IF(DATE(YEAR($B24),1,1)&lt;DATE(2028,1,1),Junior_Annual_Salary*(1+Raise_Pct_Jan2027),IF(DATE(YEAR($B24),1,1)&lt;DATE(2029,1,1),Junior_Annual_Salary*(1+Raise_Pct_Jan2027)*(1+Raise_Pct_Jan2028),IF(DATE(YEAR($B24),1,1)&lt;DATE(2030,1,1),Junior_Annual_Salary*(1+Raise_Pct_Jan2027)*(1+Raise_Pct_Jan2028)*(1+Raise_Pct_Jan2029),Junior_Annual_Salary*(1+Raise_Pct_Jan2027)*(1+Raise_Pct_Jan2028)*(1+Raise_Pct_Jan2029)*(1+Raise_Pct_Jan2030)))))/12),0)</f>
        <v>0</v>
      </c>
      <c r="E24" s="24">
        <f>IF(AND(MONTH($B24)=1,YEAR($B24)&gt;=2027),IF(DATE(YEAR($B24),1,1)&lt;DATE(2027,1,1),Junior_Annual_Salary,IF(DATE(YEAR($B24),1,1)&lt;DATE(2028,1,1),Junior_Annual_Salary*(1+Raise_Pct_Jan2027),IF(DATE(YEAR($B24),1,1)&lt;DATE(2029,1,1),Junior_Annual_Salary*(1+Raise_Pct_Jan2027)*(1+Raise_Pct_Jan2028),IF(DATE(YEAR($B24),1,1)&lt;DATE(2030,1,1),Junior_Annual_Salary*(1+Raise_Pct_Jan2027)*(1+Raise_Pct_Jan2028)*(1+Raise_Pct_Jan2029),Junior_Annual_Salary*(1+Raise_Pct_Jan2027)*(1+Raise_Pct_Jan2028)*(1+Raise_Pct_Jan2029)*(1+Raise_Pct_Jan2030)))))*Retention_Pct,0)</f>
        <v>0</v>
      </c>
      <c r="F24" s="24">
        <f>IF($B24=DATE(2026,8,1),SignOn_Bonus,0)</f>
        <v>0</v>
      </c>
      <c r="G24" s="24">
        <f>SUM(C24:F24)</f>
        <v>2928.4666666666672</v>
      </c>
      <c r="H24" s="11">
        <f>(1-Tax_Pct)*G24</f>
        <v>2152.4230000000002</v>
      </c>
      <c r="I24" s="5" t="s">
        <v>37</v>
      </c>
      <c r="J24" s="15">
        <f>SUM(J18:J22)</f>
        <v>105184.99783638399</v>
      </c>
    </row>
    <row r="25" spans="1:10" x14ac:dyDescent="0.3">
      <c r="A25" s="21" t="str">
        <f t="shared" si="0"/>
        <v>Senior</v>
      </c>
      <c r="B25" s="22">
        <f>EDATE($B$2,23)</f>
        <v>46935</v>
      </c>
      <c r="C25" s="24">
        <f>IF($B25&lt;DATE(2027,1,1),Junior_Annual_Salary,IF($B25&lt;DATE(2028,1,1),Junior_Annual_Salary*(1+Raise_Pct_Jan2027),IF($B25&lt;DATE(2029,1,1),Junior_Annual_Salary*(1+Raise_Pct_Jan2027)*(1+Raise_Pct_Jan2028),IF($B25&lt;DATE(2030,1,1),Junior_Annual_Salary*(1+Raise_Pct_Jan2027)*(1+Raise_Pct_Jan2028)*(1+Raise_Pct_Jan2029),Junior_Annual_Salary*(1+Raise_Pct_Jan2027)*(1+Raise_Pct_Jan2028)*(1+Raise_Pct_Jan2029)*(1+Raise_Pct_Jan2030)))))/12</f>
        <v>2928.4666666666672</v>
      </c>
      <c r="D25" s="24">
        <f>IF(MONTH($B25)=1,(Bonus_Months/2)*(IF(DATE(YEAR($B25)-1,7,1)&lt;DATE(2027,1,1),Junior_Annual_Salary,IF(DATE(YEAR($B25)-1,7,1)&lt;DATE(2028,1,1),Junior_Annual_Salary*(1+Raise_Pct_Jan2027),IF(DATE(YEAR($B25)-1,7,1)&lt;DATE(2029,1,1),Junior_Annual_Salary*(1+Raise_Pct_Jan2027)*(1+Raise_Pct_Jan2028),IF(DATE(YEAR($B25)-1,7,1)&lt;DATE(2030,1,1),Junior_Annual_Salary*(1+Raise_Pct_Jan2027)*(1+Raise_Pct_Jan2028)*(1+Raise_Pct_Jan2029),Junior_Annual_Salary*(1+Raise_Pct_Jan2027)*(1+Raise_Pct_Jan2028)*(1+Raise_Pct_Jan2029)*(1+Raise_Pct_Jan2030)))))/12)*IF(YEAR($B25)=2027,5/6,1),0)+IF(MONTH($B25)=7,(Bonus_Months/2)*(IF(DATE(YEAR($B25),1,1)&lt;DATE(2027,1,1),Junior_Annual_Salary,IF(DATE(YEAR($B25),1,1)&lt;DATE(2028,1,1),Junior_Annual_Salary*(1+Raise_Pct_Jan2027),IF(DATE(YEAR($B25),1,1)&lt;DATE(2029,1,1),Junior_Annual_Salary*(1+Raise_Pct_Jan2027)*(1+Raise_Pct_Jan2028),IF(DATE(YEAR($B25),1,1)&lt;DATE(2030,1,1),Junior_Annual_Salary*(1+Raise_Pct_Jan2027)*(1+Raise_Pct_Jan2028)*(1+Raise_Pct_Jan2029),Junior_Annual_Salary*(1+Raise_Pct_Jan2027)*(1+Raise_Pct_Jan2028)*(1+Raise_Pct_Jan2029)*(1+Raise_Pct_Jan2030)))))/12),0)</f>
        <v>2928.4666666666672</v>
      </c>
      <c r="E25" s="24">
        <f>IF(AND(MONTH($B25)=1,YEAR($B25)&gt;=2027),IF(DATE(YEAR($B25),1,1)&lt;DATE(2027,1,1),Junior_Annual_Salary,IF(DATE(YEAR($B25),1,1)&lt;DATE(2028,1,1),Junior_Annual_Salary*(1+Raise_Pct_Jan2027),IF(DATE(YEAR($B25),1,1)&lt;DATE(2029,1,1),Junior_Annual_Salary*(1+Raise_Pct_Jan2027)*(1+Raise_Pct_Jan2028),IF(DATE(YEAR($B25),1,1)&lt;DATE(2030,1,1),Junior_Annual_Salary*(1+Raise_Pct_Jan2027)*(1+Raise_Pct_Jan2028)*(1+Raise_Pct_Jan2029),Junior_Annual_Salary*(1+Raise_Pct_Jan2027)*(1+Raise_Pct_Jan2028)*(1+Raise_Pct_Jan2029)*(1+Raise_Pct_Jan2030)))))*Retention_Pct,0)</f>
        <v>0</v>
      </c>
      <c r="F25" s="24">
        <f>IF($B25=DATE(2026,8,1),SignOn_Bonus,0)</f>
        <v>0</v>
      </c>
      <c r="G25" s="24">
        <f>SUM(C25:F25)</f>
        <v>5856.9333333333343</v>
      </c>
      <c r="H25" s="11">
        <f>(1-Tax_Pct)*G25</f>
        <v>4304.8460000000005</v>
      </c>
    </row>
    <row r="26" spans="1:10" x14ac:dyDescent="0.3">
      <c r="A26" s="21" t="str">
        <f t="shared" si="0"/>
        <v>Senior</v>
      </c>
      <c r="B26" s="22">
        <f>EDATE($B$2,24)</f>
        <v>46966</v>
      </c>
      <c r="C26" s="24">
        <f>IF($B26&lt;DATE(2027,1,1),Junior_Annual_Salary,IF($B26&lt;DATE(2028,1,1),Junior_Annual_Salary*(1+Raise_Pct_Jan2027),IF($B26&lt;DATE(2029,1,1),Junior_Annual_Salary*(1+Raise_Pct_Jan2027)*(1+Raise_Pct_Jan2028),IF($B26&lt;DATE(2030,1,1),Junior_Annual_Salary*(1+Raise_Pct_Jan2027)*(1+Raise_Pct_Jan2028)*(1+Raise_Pct_Jan2029),Junior_Annual_Salary*(1+Raise_Pct_Jan2027)*(1+Raise_Pct_Jan2028)*(1+Raise_Pct_Jan2029)*(1+Raise_Pct_Jan2030)))))/12</f>
        <v>2928.4666666666672</v>
      </c>
      <c r="D26" s="24">
        <f>IF(MONTH($B26)=1,(Bonus_Months/2)*(IF(DATE(YEAR($B26)-1,7,1)&lt;DATE(2027,1,1),Junior_Annual_Salary,IF(DATE(YEAR($B26)-1,7,1)&lt;DATE(2028,1,1),Junior_Annual_Salary*(1+Raise_Pct_Jan2027),IF(DATE(YEAR($B26)-1,7,1)&lt;DATE(2029,1,1),Junior_Annual_Salary*(1+Raise_Pct_Jan2027)*(1+Raise_Pct_Jan2028),IF(DATE(YEAR($B26)-1,7,1)&lt;DATE(2030,1,1),Junior_Annual_Salary*(1+Raise_Pct_Jan2027)*(1+Raise_Pct_Jan2028)*(1+Raise_Pct_Jan2029),Junior_Annual_Salary*(1+Raise_Pct_Jan2027)*(1+Raise_Pct_Jan2028)*(1+Raise_Pct_Jan2029)*(1+Raise_Pct_Jan2030)))))/12)*IF(YEAR($B26)=2027,5/6,1),0)+IF(MONTH($B26)=7,(Bonus_Months/2)*(IF(DATE(YEAR($B26),1,1)&lt;DATE(2027,1,1),Junior_Annual_Salary,IF(DATE(YEAR($B26),1,1)&lt;DATE(2028,1,1),Junior_Annual_Salary*(1+Raise_Pct_Jan2027),IF(DATE(YEAR($B26),1,1)&lt;DATE(2029,1,1),Junior_Annual_Salary*(1+Raise_Pct_Jan2027)*(1+Raise_Pct_Jan2028),IF(DATE(YEAR($B26),1,1)&lt;DATE(2030,1,1),Junior_Annual_Salary*(1+Raise_Pct_Jan2027)*(1+Raise_Pct_Jan2028)*(1+Raise_Pct_Jan2029),Junior_Annual_Salary*(1+Raise_Pct_Jan2027)*(1+Raise_Pct_Jan2028)*(1+Raise_Pct_Jan2029)*(1+Raise_Pct_Jan2030)))))/12),0)</f>
        <v>0</v>
      </c>
      <c r="E26" s="24">
        <f>IF(AND(MONTH($B26)=1,YEAR($B26)&gt;=2027),IF(DATE(YEAR($B26),1,1)&lt;DATE(2027,1,1),Junior_Annual_Salary,IF(DATE(YEAR($B26),1,1)&lt;DATE(2028,1,1),Junior_Annual_Salary*(1+Raise_Pct_Jan2027),IF(DATE(YEAR($B26),1,1)&lt;DATE(2029,1,1),Junior_Annual_Salary*(1+Raise_Pct_Jan2027)*(1+Raise_Pct_Jan2028),IF(DATE(YEAR($B26),1,1)&lt;DATE(2030,1,1),Junior_Annual_Salary*(1+Raise_Pct_Jan2027)*(1+Raise_Pct_Jan2028)*(1+Raise_Pct_Jan2029),Junior_Annual_Salary*(1+Raise_Pct_Jan2027)*(1+Raise_Pct_Jan2028)*(1+Raise_Pct_Jan2029)*(1+Raise_Pct_Jan2030)))))*Retention_Pct,0)</f>
        <v>0</v>
      </c>
      <c r="F26" s="24">
        <f>IF($B26=DATE(2026,8,1),SignOn_Bonus,0)</f>
        <v>0</v>
      </c>
      <c r="G26" s="24">
        <f>SUM(C26:F26)</f>
        <v>2928.4666666666672</v>
      </c>
      <c r="H26" s="11">
        <f>(1-Tax_Pct)*G26</f>
        <v>2152.4230000000002</v>
      </c>
    </row>
    <row r="27" spans="1:10" x14ac:dyDescent="0.3">
      <c r="A27" s="21" t="str">
        <f t="shared" si="0"/>
        <v>Senior</v>
      </c>
      <c r="B27" s="22">
        <f>EDATE($B$2,25)</f>
        <v>46997</v>
      </c>
      <c r="C27" s="24">
        <f>IF($B27&lt;DATE(2027,1,1),Junior_Annual_Salary,IF($B27&lt;DATE(2028,1,1),Junior_Annual_Salary*(1+Raise_Pct_Jan2027),IF($B27&lt;DATE(2029,1,1),Junior_Annual_Salary*(1+Raise_Pct_Jan2027)*(1+Raise_Pct_Jan2028),IF($B27&lt;DATE(2030,1,1),Junior_Annual_Salary*(1+Raise_Pct_Jan2027)*(1+Raise_Pct_Jan2028)*(1+Raise_Pct_Jan2029),Junior_Annual_Salary*(1+Raise_Pct_Jan2027)*(1+Raise_Pct_Jan2028)*(1+Raise_Pct_Jan2029)*(1+Raise_Pct_Jan2030)))))/12</f>
        <v>2928.4666666666672</v>
      </c>
      <c r="D27" s="24">
        <f>IF(MONTH($B27)=1,(Bonus_Months/2)*(IF(DATE(YEAR($B27)-1,7,1)&lt;DATE(2027,1,1),Junior_Annual_Salary,IF(DATE(YEAR($B27)-1,7,1)&lt;DATE(2028,1,1),Junior_Annual_Salary*(1+Raise_Pct_Jan2027),IF(DATE(YEAR($B27)-1,7,1)&lt;DATE(2029,1,1),Junior_Annual_Salary*(1+Raise_Pct_Jan2027)*(1+Raise_Pct_Jan2028),IF(DATE(YEAR($B27)-1,7,1)&lt;DATE(2030,1,1),Junior_Annual_Salary*(1+Raise_Pct_Jan2027)*(1+Raise_Pct_Jan2028)*(1+Raise_Pct_Jan2029),Junior_Annual_Salary*(1+Raise_Pct_Jan2027)*(1+Raise_Pct_Jan2028)*(1+Raise_Pct_Jan2029)*(1+Raise_Pct_Jan2030)))))/12)*IF(YEAR($B27)=2027,5/6,1),0)+IF(MONTH($B27)=7,(Bonus_Months/2)*(IF(DATE(YEAR($B27),1,1)&lt;DATE(2027,1,1),Junior_Annual_Salary,IF(DATE(YEAR($B27),1,1)&lt;DATE(2028,1,1),Junior_Annual_Salary*(1+Raise_Pct_Jan2027),IF(DATE(YEAR($B27),1,1)&lt;DATE(2029,1,1),Junior_Annual_Salary*(1+Raise_Pct_Jan2027)*(1+Raise_Pct_Jan2028),IF(DATE(YEAR($B27),1,1)&lt;DATE(2030,1,1),Junior_Annual_Salary*(1+Raise_Pct_Jan2027)*(1+Raise_Pct_Jan2028)*(1+Raise_Pct_Jan2029),Junior_Annual_Salary*(1+Raise_Pct_Jan2027)*(1+Raise_Pct_Jan2028)*(1+Raise_Pct_Jan2029)*(1+Raise_Pct_Jan2030)))))/12),0)</f>
        <v>0</v>
      </c>
      <c r="E27" s="24">
        <f>IF(AND(MONTH($B27)=1,YEAR($B27)&gt;=2027),IF(DATE(YEAR($B27),1,1)&lt;DATE(2027,1,1),Junior_Annual_Salary,IF(DATE(YEAR($B27),1,1)&lt;DATE(2028,1,1),Junior_Annual_Salary*(1+Raise_Pct_Jan2027),IF(DATE(YEAR($B27),1,1)&lt;DATE(2029,1,1),Junior_Annual_Salary*(1+Raise_Pct_Jan2027)*(1+Raise_Pct_Jan2028),IF(DATE(YEAR($B27),1,1)&lt;DATE(2030,1,1),Junior_Annual_Salary*(1+Raise_Pct_Jan2027)*(1+Raise_Pct_Jan2028)*(1+Raise_Pct_Jan2029),Junior_Annual_Salary*(1+Raise_Pct_Jan2027)*(1+Raise_Pct_Jan2028)*(1+Raise_Pct_Jan2029)*(1+Raise_Pct_Jan2030)))))*Retention_Pct,0)</f>
        <v>0</v>
      </c>
      <c r="F27" s="24">
        <f>IF($B27=DATE(2026,8,1),SignOn_Bonus,0)</f>
        <v>0</v>
      </c>
      <c r="G27" s="24">
        <f>SUM(C27:F27)</f>
        <v>2928.4666666666672</v>
      </c>
      <c r="H27" s="11">
        <f>(1-Tax_Pct)*G27</f>
        <v>2152.4230000000002</v>
      </c>
    </row>
    <row r="28" spans="1:10" x14ac:dyDescent="0.3">
      <c r="A28" s="21" t="str">
        <f t="shared" si="0"/>
        <v>Senior</v>
      </c>
      <c r="B28" s="22">
        <f>EDATE($B$2,26)</f>
        <v>47027</v>
      </c>
      <c r="C28" s="24">
        <f>IF($B28&lt;DATE(2027,1,1),Junior_Annual_Salary,IF($B28&lt;DATE(2028,1,1),Junior_Annual_Salary*(1+Raise_Pct_Jan2027),IF($B28&lt;DATE(2029,1,1),Junior_Annual_Salary*(1+Raise_Pct_Jan2027)*(1+Raise_Pct_Jan2028),IF($B28&lt;DATE(2030,1,1),Junior_Annual_Salary*(1+Raise_Pct_Jan2027)*(1+Raise_Pct_Jan2028)*(1+Raise_Pct_Jan2029),Junior_Annual_Salary*(1+Raise_Pct_Jan2027)*(1+Raise_Pct_Jan2028)*(1+Raise_Pct_Jan2029)*(1+Raise_Pct_Jan2030)))))/12</f>
        <v>2928.4666666666672</v>
      </c>
      <c r="D28" s="24">
        <f>IF(MONTH($B28)=1,(Bonus_Months/2)*(IF(DATE(YEAR($B28)-1,7,1)&lt;DATE(2027,1,1),Junior_Annual_Salary,IF(DATE(YEAR($B28)-1,7,1)&lt;DATE(2028,1,1),Junior_Annual_Salary*(1+Raise_Pct_Jan2027),IF(DATE(YEAR($B28)-1,7,1)&lt;DATE(2029,1,1),Junior_Annual_Salary*(1+Raise_Pct_Jan2027)*(1+Raise_Pct_Jan2028),IF(DATE(YEAR($B28)-1,7,1)&lt;DATE(2030,1,1),Junior_Annual_Salary*(1+Raise_Pct_Jan2027)*(1+Raise_Pct_Jan2028)*(1+Raise_Pct_Jan2029),Junior_Annual_Salary*(1+Raise_Pct_Jan2027)*(1+Raise_Pct_Jan2028)*(1+Raise_Pct_Jan2029)*(1+Raise_Pct_Jan2030)))))/12)*IF(YEAR($B28)=2027,5/6,1),0)+IF(MONTH($B28)=7,(Bonus_Months/2)*(IF(DATE(YEAR($B28),1,1)&lt;DATE(2027,1,1),Junior_Annual_Salary,IF(DATE(YEAR($B28),1,1)&lt;DATE(2028,1,1),Junior_Annual_Salary*(1+Raise_Pct_Jan2027),IF(DATE(YEAR($B28),1,1)&lt;DATE(2029,1,1),Junior_Annual_Salary*(1+Raise_Pct_Jan2027)*(1+Raise_Pct_Jan2028),IF(DATE(YEAR($B28),1,1)&lt;DATE(2030,1,1),Junior_Annual_Salary*(1+Raise_Pct_Jan2027)*(1+Raise_Pct_Jan2028)*(1+Raise_Pct_Jan2029),Junior_Annual_Salary*(1+Raise_Pct_Jan2027)*(1+Raise_Pct_Jan2028)*(1+Raise_Pct_Jan2029)*(1+Raise_Pct_Jan2030)))))/12),0)</f>
        <v>0</v>
      </c>
      <c r="E28" s="24">
        <f>IF(AND(MONTH($B28)=1,YEAR($B28)&gt;=2027),IF(DATE(YEAR($B28),1,1)&lt;DATE(2027,1,1),Junior_Annual_Salary,IF(DATE(YEAR($B28),1,1)&lt;DATE(2028,1,1),Junior_Annual_Salary*(1+Raise_Pct_Jan2027),IF(DATE(YEAR($B28),1,1)&lt;DATE(2029,1,1),Junior_Annual_Salary*(1+Raise_Pct_Jan2027)*(1+Raise_Pct_Jan2028),IF(DATE(YEAR($B28),1,1)&lt;DATE(2030,1,1),Junior_Annual_Salary*(1+Raise_Pct_Jan2027)*(1+Raise_Pct_Jan2028)*(1+Raise_Pct_Jan2029),Junior_Annual_Salary*(1+Raise_Pct_Jan2027)*(1+Raise_Pct_Jan2028)*(1+Raise_Pct_Jan2029)*(1+Raise_Pct_Jan2030)))))*Retention_Pct,0)</f>
        <v>0</v>
      </c>
      <c r="F28" s="24">
        <f>IF($B28=DATE(2026,8,1),SignOn_Bonus,0)</f>
        <v>0</v>
      </c>
      <c r="G28" s="24">
        <f>SUM(C28:F28)</f>
        <v>2928.4666666666672</v>
      </c>
      <c r="H28" s="11">
        <f>(1-Tax_Pct)*G28</f>
        <v>2152.4230000000002</v>
      </c>
    </row>
    <row r="29" spans="1:10" x14ac:dyDescent="0.3">
      <c r="A29" s="21" t="str">
        <f t="shared" si="0"/>
        <v>Senior</v>
      </c>
      <c r="B29" s="22">
        <f>EDATE($B$2,27)</f>
        <v>47058</v>
      </c>
      <c r="C29" s="24">
        <f>IF($B29&lt;DATE(2027,1,1),Junior_Annual_Salary,IF($B29&lt;DATE(2028,1,1),Junior_Annual_Salary*(1+Raise_Pct_Jan2027),IF($B29&lt;DATE(2029,1,1),Junior_Annual_Salary*(1+Raise_Pct_Jan2027)*(1+Raise_Pct_Jan2028),IF($B29&lt;DATE(2030,1,1),Junior_Annual_Salary*(1+Raise_Pct_Jan2027)*(1+Raise_Pct_Jan2028)*(1+Raise_Pct_Jan2029),Junior_Annual_Salary*(1+Raise_Pct_Jan2027)*(1+Raise_Pct_Jan2028)*(1+Raise_Pct_Jan2029)*(1+Raise_Pct_Jan2030)))))/12</f>
        <v>2928.4666666666672</v>
      </c>
      <c r="D29" s="24">
        <f>IF(MONTH($B29)=1,(Bonus_Months/2)*(IF(DATE(YEAR($B29)-1,7,1)&lt;DATE(2027,1,1),Junior_Annual_Salary,IF(DATE(YEAR($B29)-1,7,1)&lt;DATE(2028,1,1),Junior_Annual_Salary*(1+Raise_Pct_Jan2027),IF(DATE(YEAR($B29)-1,7,1)&lt;DATE(2029,1,1),Junior_Annual_Salary*(1+Raise_Pct_Jan2027)*(1+Raise_Pct_Jan2028),IF(DATE(YEAR($B29)-1,7,1)&lt;DATE(2030,1,1),Junior_Annual_Salary*(1+Raise_Pct_Jan2027)*(1+Raise_Pct_Jan2028)*(1+Raise_Pct_Jan2029),Junior_Annual_Salary*(1+Raise_Pct_Jan2027)*(1+Raise_Pct_Jan2028)*(1+Raise_Pct_Jan2029)*(1+Raise_Pct_Jan2030)))))/12)*IF(YEAR($B29)=2027,5/6,1),0)+IF(MONTH($B29)=7,(Bonus_Months/2)*(IF(DATE(YEAR($B29),1,1)&lt;DATE(2027,1,1),Junior_Annual_Salary,IF(DATE(YEAR($B29),1,1)&lt;DATE(2028,1,1),Junior_Annual_Salary*(1+Raise_Pct_Jan2027),IF(DATE(YEAR($B29),1,1)&lt;DATE(2029,1,1),Junior_Annual_Salary*(1+Raise_Pct_Jan2027)*(1+Raise_Pct_Jan2028),IF(DATE(YEAR($B29),1,1)&lt;DATE(2030,1,1),Junior_Annual_Salary*(1+Raise_Pct_Jan2027)*(1+Raise_Pct_Jan2028)*(1+Raise_Pct_Jan2029),Junior_Annual_Salary*(1+Raise_Pct_Jan2027)*(1+Raise_Pct_Jan2028)*(1+Raise_Pct_Jan2029)*(1+Raise_Pct_Jan2030)))))/12),0)</f>
        <v>0</v>
      </c>
      <c r="E29" s="24">
        <f>IF(AND(MONTH($B29)=1,YEAR($B29)&gt;=2027),IF(DATE(YEAR($B29),1,1)&lt;DATE(2027,1,1),Junior_Annual_Salary,IF(DATE(YEAR($B29),1,1)&lt;DATE(2028,1,1),Junior_Annual_Salary*(1+Raise_Pct_Jan2027),IF(DATE(YEAR($B29),1,1)&lt;DATE(2029,1,1),Junior_Annual_Salary*(1+Raise_Pct_Jan2027)*(1+Raise_Pct_Jan2028),IF(DATE(YEAR($B29),1,1)&lt;DATE(2030,1,1),Junior_Annual_Salary*(1+Raise_Pct_Jan2027)*(1+Raise_Pct_Jan2028)*(1+Raise_Pct_Jan2029),Junior_Annual_Salary*(1+Raise_Pct_Jan2027)*(1+Raise_Pct_Jan2028)*(1+Raise_Pct_Jan2029)*(1+Raise_Pct_Jan2030)))))*Retention_Pct,0)</f>
        <v>0</v>
      </c>
      <c r="F29" s="24">
        <f>IF($B29=DATE(2026,8,1),SignOn_Bonus,0)</f>
        <v>0</v>
      </c>
      <c r="G29" s="24">
        <f>SUM(C29:F29)</f>
        <v>2928.4666666666672</v>
      </c>
      <c r="H29" s="11">
        <f>(1-Tax_Pct)*G29</f>
        <v>2152.4230000000002</v>
      </c>
    </row>
    <row r="30" spans="1:10" x14ac:dyDescent="0.3">
      <c r="A30" s="25" t="str">
        <f t="shared" si="0"/>
        <v>Senior</v>
      </c>
      <c r="B30" s="26">
        <f>EDATE($B$2,28)</f>
        <v>47088</v>
      </c>
      <c r="C30" s="27">
        <f>IF($B30&lt;DATE(2027,1,1),Junior_Annual_Salary,IF($B30&lt;DATE(2028,1,1),Junior_Annual_Salary*(1+Raise_Pct_Jan2027),IF($B30&lt;DATE(2029,1,1),Junior_Annual_Salary*(1+Raise_Pct_Jan2027)*(1+Raise_Pct_Jan2028),IF($B30&lt;DATE(2030,1,1),Junior_Annual_Salary*(1+Raise_Pct_Jan2027)*(1+Raise_Pct_Jan2028)*(1+Raise_Pct_Jan2029),Junior_Annual_Salary*(1+Raise_Pct_Jan2027)*(1+Raise_Pct_Jan2028)*(1+Raise_Pct_Jan2029)*(1+Raise_Pct_Jan2030)))))/12</f>
        <v>2928.4666666666672</v>
      </c>
      <c r="D30" s="27">
        <f>IF(MONTH($B30)=1,(Bonus_Months/2)*(IF(DATE(YEAR($B30)-1,7,1)&lt;DATE(2027,1,1),Junior_Annual_Salary,IF(DATE(YEAR($B30)-1,7,1)&lt;DATE(2028,1,1),Junior_Annual_Salary*(1+Raise_Pct_Jan2027),IF(DATE(YEAR($B30)-1,7,1)&lt;DATE(2029,1,1),Junior_Annual_Salary*(1+Raise_Pct_Jan2027)*(1+Raise_Pct_Jan2028),IF(DATE(YEAR($B30)-1,7,1)&lt;DATE(2030,1,1),Junior_Annual_Salary*(1+Raise_Pct_Jan2027)*(1+Raise_Pct_Jan2028)*(1+Raise_Pct_Jan2029),Junior_Annual_Salary*(1+Raise_Pct_Jan2027)*(1+Raise_Pct_Jan2028)*(1+Raise_Pct_Jan2029)*(1+Raise_Pct_Jan2030)))))/12)*IF(YEAR($B30)=2027,5/6,1),0)+IF(MONTH($B30)=7,(Bonus_Months/2)*(IF(DATE(YEAR($B30),1,1)&lt;DATE(2027,1,1),Junior_Annual_Salary,IF(DATE(YEAR($B30),1,1)&lt;DATE(2028,1,1),Junior_Annual_Salary*(1+Raise_Pct_Jan2027),IF(DATE(YEAR($B30),1,1)&lt;DATE(2029,1,1),Junior_Annual_Salary*(1+Raise_Pct_Jan2027)*(1+Raise_Pct_Jan2028),IF(DATE(YEAR($B30),1,1)&lt;DATE(2030,1,1),Junior_Annual_Salary*(1+Raise_Pct_Jan2027)*(1+Raise_Pct_Jan2028)*(1+Raise_Pct_Jan2029),Junior_Annual_Salary*(1+Raise_Pct_Jan2027)*(1+Raise_Pct_Jan2028)*(1+Raise_Pct_Jan2029)*(1+Raise_Pct_Jan2030)))))/12),0)</f>
        <v>0</v>
      </c>
      <c r="E30" s="27">
        <f>IF(AND(MONTH($B30)=1,YEAR($B30)&gt;=2027),IF(DATE(YEAR($B30),1,1)&lt;DATE(2027,1,1),Junior_Annual_Salary,IF(DATE(YEAR($B30),1,1)&lt;DATE(2028,1,1),Junior_Annual_Salary*(1+Raise_Pct_Jan2027),IF(DATE(YEAR($B30),1,1)&lt;DATE(2029,1,1),Junior_Annual_Salary*(1+Raise_Pct_Jan2027)*(1+Raise_Pct_Jan2028),IF(DATE(YEAR($B30),1,1)&lt;DATE(2030,1,1),Junior_Annual_Salary*(1+Raise_Pct_Jan2027)*(1+Raise_Pct_Jan2028)*(1+Raise_Pct_Jan2029),Junior_Annual_Salary*(1+Raise_Pct_Jan2027)*(1+Raise_Pct_Jan2028)*(1+Raise_Pct_Jan2029)*(1+Raise_Pct_Jan2030)))))*Retention_Pct,0)</f>
        <v>0</v>
      </c>
      <c r="F30" s="27">
        <f>IF($B30=DATE(2026,8,1),SignOn_Bonus,0)</f>
        <v>0</v>
      </c>
      <c r="G30" s="27">
        <f>SUM(C30:F30)</f>
        <v>2928.4666666666672</v>
      </c>
      <c r="H30" s="11">
        <f>(1-Tax_Pct)*G30</f>
        <v>2152.4230000000002</v>
      </c>
    </row>
    <row r="31" spans="1:10" x14ac:dyDescent="0.3">
      <c r="A31" s="21" t="str">
        <f t="shared" si="0"/>
        <v>Senior</v>
      </c>
      <c r="B31" s="22">
        <f>EDATE($B$2,29)</f>
        <v>47119</v>
      </c>
      <c r="C31" s="24">
        <f>IF($B31&lt;DATE(2027,1,1),Junior_Annual_Salary,IF($B31&lt;DATE(2028,1,1),Junior_Annual_Salary*(1+Raise_Pct_Jan2027),IF($B31&lt;DATE(2029,1,1),Junior_Annual_Salary*(1+Raise_Pct_Jan2027)*(1+Raise_Pct_Jan2028),IF($B31&lt;DATE(2030,1,1),Junior_Annual_Salary*(1+Raise_Pct_Jan2027)*(1+Raise_Pct_Jan2028)*(1+Raise_Pct_Jan2029),Junior_Annual_Salary*(1+Raise_Pct_Jan2027)*(1+Raise_Pct_Jan2028)*(1+Raise_Pct_Jan2029)*(1+Raise_Pct_Jan2030)))))/12</f>
        <v>3192.0286666666675</v>
      </c>
      <c r="D31" s="24">
        <f>IF(MONTH($B31)=1,(Bonus_Months/2)*(IF(DATE(YEAR($B31)-1,7,1)&lt;DATE(2027,1,1),Junior_Annual_Salary,IF(DATE(YEAR($B31)-1,7,1)&lt;DATE(2028,1,1),Junior_Annual_Salary*(1+Raise_Pct_Jan2027),IF(DATE(YEAR($B31)-1,7,1)&lt;DATE(2029,1,1),Junior_Annual_Salary*(1+Raise_Pct_Jan2027)*(1+Raise_Pct_Jan2028),IF(DATE(YEAR($B31)-1,7,1)&lt;DATE(2030,1,1),Junior_Annual_Salary*(1+Raise_Pct_Jan2027)*(1+Raise_Pct_Jan2028)*(1+Raise_Pct_Jan2029),Junior_Annual_Salary*(1+Raise_Pct_Jan2027)*(1+Raise_Pct_Jan2028)*(1+Raise_Pct_Jan2029)*(1+Raise_Pct_Jan2030)))))/12)*IF(YEAR($B31)=2027,5/6,1),0)+IF(MONTH($B31)=7,(Bonus_Months/2)*(IF(DATE(YEAR($B31),1,1)&lt;DATE(2027,1,1),Junior_Annual_Salary,IF(DATE(YEAR($B31),1,1)&lt;DATE(2028,1,1),Junior_Annual_Salary*(1+Raise_Pct_Jan2027),IF(DATE(YEAR($B31),1,1)&lt;DATE(2029,1,1),Junior_Annual_Salary*(1+Raise_Pct_Jan2027)*(1+Raise_Pct_Jan2028),IF(DATE(YEAR($B31),1,1)&lt;DATE(2030,1,1),Junior_Annual_Salary*(1+Raise_Pct_Jan2027)*(1+Raise_Pct_Jan2028)*(1+Raise_Pct_Jan2029),Junior_Annual_Salary*(1+Raise_Pct_Jan2027)*(1+Raise_Pct_Jan2028)*(1+Raise_Pct_Jan2029)*(1+Raise_Pct_Jan2030)))))/12),0)</f>
        <v>2928.4666666666672</v>
      </c>
      <c r="E31" s="11">
        <f>IF(AND(MONTH($B31)=1,YEAR($B31)&gt;=2027),IF(DATE(YEAR($B31),1,1)&lt;DATE(2027,1,1),Junior_Annual_Salary,IF(DATE(YEAR($B31),1,1)&lt;DATE(2028,1,1),Junior_Annual_Salary*(1+Raise_Pct_Jan2027),IF(DATE(YEAR($B31),1,1)&lt;DATE(2029,1,1),Junior_Annual_Salary*(1+Raise_Pct_Jan2027)*(1+Raise_Pct_Jan2028),IF(DATE(YEAR($B31),1,1)&lt;DATE(2030,1,1),Junior_Annual_Salary*(1+Raise_Pct_Jan2027)*(1+Raise_Pct_Jan2028)*(1+Raise_Pct_Jan2029),Junior_Annual_Salary*(1+Raise_Pct_Jan2027)*(1+Raise_Pct_Jan2028)*(1+Raise_Pct_Jan2029)*(1+Raise_Pct_Jan2030+Promotion_Pct_Jan2030)))))*IF(YEAR($B31)=2027,Retention_Pct_Senior_2027,IF(YEAR($B31)=2028,Retention_Pct_Senior_2028,IF(YEAR($B31)=2029,Retention_Pct_Senior_2029,Retention_Pct_Staff_2030))),0)</f>
        <v>3830.4344000000015</v>
      </c>
      <c r="F31" s="24">
        <f>IF($B31=DATE(2026,8,1),SignOn_Bonus,0)</f>
        <v>0</v>
      </c>
      <c r="G31" s="24">
        <f>SUM(C31:F31)</f>
        <v>9950.9297333333361</v>
      </c>
      <c r="H31" s="11">
        <f>(1-Tax_Pct)*G31</f>
        <v>7313.9333540000016</v>
      </c>
    </row>
    <row r="32" spans="1:10" x14ac:dyDescent="0.3">
      <c r="A32" s="21" t="str">
        <f t="shared" si="0"/>
        <v>Senior</v>
      </c>
      <c r="B32" s="22">
        <f>EDATE($B$2,30)</f>
        <v>47150</v>
      </c>
      <c r="C32" s="24">
        <f>IF($B32&lt;DATE(2027,1,1),Junior_Annual_Salary,IF($B32&lt;DATE(2028,1,1),Junior_Annual_Salary*(1+Raise_Pct_Jan2027),IF($B32&lt;DATE(2029,1,1),Junior_Annual_Salary*(1+Raise_Pct_Jan2027)*(1+Raise_Pct_Jan2028),IF($B32&lt;DATE(2030,1,1),Junior_Annual_Salary*(1+Raise_Pct_Jan2027)*(1+Raise_Pct_Jan2028)*(1+Raise_Pct_Jan2029),Junior_Annual_Salary*(1+Raise_Pct_Jan2027)*(1+Raise_Pct_Jan2028)*(1+Raise_Pct_Jan2029)*(1+Raise_Pct_Jan2030)))))/12</f>
        <v>3192.0286666666675</v>
      </c>
      <c r="D32" s="24">
        <f>IF(MONTH($B32)=1,(Bonus_Months/2)*(IF(DATE(YEAR($B32)-1,7,1)&lt;DATE(2027,1,1),Junior_Annual_Salary,IF(DATE(YEAR($B32)-1,7,1)&lt;DATE(2028,1,1),Junior_Annual_Salary*(1+Raise_Pct_Jan2027),IF(DATE(YEAR($B32)-1,7,1)&lt;DATE(2029,1,1),Junior_Annual_Salary*(1+Raise_Pct_Jan2027)*(1+Raise_Pct_Jan2028),IF(DATE(YEAR($B32)-1,7,1)&lt;DATE(2030,1,1),Junior_Annual_Salary*(1+Raise_Pct_Jan2027)*(1+Raise_Pct_Jan2028)*(1+Raise_Pct_Jan2029),Junior_Annual_Salary*(1+Raise_Pct_Jan2027)*(1+Raise_Pct_Jan2028)*(1+Raise_Pct_Jan2029)*(1+Raise_Pct_Jan2030)))))/12)*IF(YEAR($B32)=2027,5/6,1),0)+IF(MONTH($B32)=7,(Bonus_Months/2)*(IF(DATE(YEAR($B32),1,1)&lt;DATE(2027,1,1),Junior_Annual_Salary,IF(DATE(YEAR($B32),1,1)&lt;DATE(2028,1,1),Junior_Annual_Salary*(1+Raise_Pct_Jan2027),IF(DATE(YEAR($B32),1,1)&lt;DATE(2029,1,1),Junior_Annual_Salary*(1+Raise_Pct_Jan2027)*(1+Raise_Pct_Jan2028),IF(DATE(YEAR($B32),1,1)&lt;DATE(2030,1,1),Junior_Annual_Salary*(1+Raise_Pct_Jan2027)*(1+Raise_Pct_Jan2028)*(1+Raise_Pct_Jan2029),Junior_Annual_Salary*(1+Raise_Pct_Jan2027)*(1+Raise_Pct_Jan2028)*(1+Raise_Pct_Jan2029)*(1+Raise_Pct_Jan2030)))))/12),0)</f>
        <v>0</v>
      </c>
      <c r="E32" s="24">
        <f>IF(AND(MONTH($B32)=1,YEAR($B32)&gt;=2027),IF(DATE(YEAR($B32),1,1)&lt;DATE(2027,1,1),Junior_Annual_Salary,IF(DATE(YEAR($B32),1,1)&lt;DATE(2028,1,1),Junior_Annual_Salary*(1+Raise_Pct_Jan2027),IF(DATE(YEAR($B32),1,1)&lt;DATE(2029,1,1),Junior_Annual_Salary*(1+Raise_Pct_Jan2027)*(1+Raise_Pct_Jan2028),IF(DATE(YEAR($B32),1,1)&lt;DATE(2030,1,1),Junior_Annual_Salary*(1+Raise_Pct_Jan2027)*(1+Raise_Pct_Jan2028)*(1+Raise_Pct_Jan2029),Junior_Annual_Salary*(1+Raise_Pct_Jan2027)*(1+Raise_Pct_Jan2028)*(1+Raise_Pct_Jan2029)*(1+Raise_Pct_Jan2030)))))*Retention_Pct,0)</f>
        <v>0</v>
      </c>
      <c r="F32" s="24">
        <f>IF($B32=DATE(2026,8,1),SignOn_Bonus,0)</f>
        <v>0</v>
      </c>
      <c r="G32" s="24">
        <f>SUM(C32:F32)</f>
        <v>3192.0286666666675</v>
      </c>
      <c r="H32" s="11">
        <f>(1-Tax_Pct)*G32</f>
        <v>2346.1410700000006</v>
      </c>
    </row>
    <row r="33" spans="1:8" x14ac:dyDescent="0.3">
      <c r="A33" s="21" t="str">
        <f t="shared" si="0"/>
        <v>Senior</v>
      </c>
      <c r="B33" s="22">
        <f>EDATE($B$2,31)</f>
        <v>47178</v>
      </c>
      <c r="C33" s="24">
        <f>IF($B33&lt;DATE(2027,1,1),Junior_Annual_Salary,IF($B33&lt;DATE(2028,1,1),Junior_Annual_Salary*(1+Raise_Pct_Jan2027),IF($B33&lt;DATE(2029,1,1),Junior_Annual_Salary*(1+Raise_Pct_Jan2027)*(1+Raise_Pct_Jan2028),IF($B33&lt;DATE(2030,1,1),Junior_Annual_Salary*(1+Raise_Pct_Jan2027)*(1+Raise_Pct_Jan2028)*(1+Raise_Pct_Jan2029),Junior_Annual_Salary*(1+Raise_Pct_Jan2027)*(1+Raise_Pct_Jan2028)*(1+Raise_Pct_Jan2029)*(1+Raise_Pct_Jan2030)))))/12</f>
        <v>3192.0286666666675</v>
      </c>
      <c r="D33" s="24">
        <f>IF(MONTH($B33)=1,(Bonus_Months/2)*(IF(DATE(YEAR($B33)-1,7,1)&lt;DATE(2027,1,1),Junior_Annual_Salary,IF(DATE(YEAR($B33)-1,7,1)&lt;DATE(2028,1,1),Junior_Annual_Salary*(1+Raise_Pct_Jan2027),IF(DATE(YEAR($B33)-1,7,1)&lt;DATE(2029,1,1),Junior_Annual_Salary*(1+Raise_Pct_Jan2027)*(1+Raise_Pct_Jan2028),IF(DATE(YEAR($B33)-1,7,1)&lt;DATE(2030,1,1),Junior_Annual_Salary*(1+Raise_Pct_Jan2027)*(1+Raise_Pct_Jan2028)*(1+Raise_Pct_Jan2029),Junior_Annual_Salary*(1+Raise_Pct_Jan2027)*(1+Raise_Pct_Jan2028)*(1+Raise_Pct_Jan2029)*(1+Raise_Pct_Jan2030)))))/12)*IF(YEAR($B33)=2027,5/6,1),0)+IF(MONTH($B33)=7,(Bonus_Months/2)*(IF(DATE(YEAR($B33),1,1)&lt;DATE(2027,1,1),Junior_Annual_Salary,IF(DATE(YEAR($B33),1,1)&lt;DATE(2028,1,1),Junior_Annual_Salary*(1+Raise_Pct_Jan2027),IF(DATE(YEAR($B33),1,1)&lt;DATE(2029,1,1),Junior_Annual_Salary*(1+Raise_Pct_Jan2027)*(1+Raise_Pct_Jan2028),IF(DATE(YEAR($B33),1,1)&lt;DATE(2030,1,1),Junior_Annual_Salary*(1+Raise_Pct_Jan2027)*(1+Raise_Pct_Jan2028)*(1+Raise_Pct_Jan2029),Junior_Annual_Salary*(1+Raise_Pct_Jan2027)*(1+Raise_Pct_Jan2028)*(1+Raise_Pct_Jan2029)*(1+Raise_Pct_Jan2030)))))/12),0)</f>
        <v>0</v>
      </c>
      <c r="E33" s="24">
        <f>IF(AND(MONTH($B33)=1,YEAR($B33)&gt;=2027),IF(DATE(YEAR($B33),1,1)&lt;DATE(2027,1,1),Junior_Annual_Salary,IF(DATE(YEAR($B33),1,1)&lt;DATE(2028,1,1),Junior_Annual_Salary*(1+Raise_Pct_Jan2027),IF(DATE(YEAR($B33),1,1)&lt;DATE(2029,1,1),Junior_Annual_Salary*(1+Raise_Pct_Jan2027)*(1+Raise_Pct_Jan2028),IF(DATE(YEAR($B33),1,1)&lt;DATE(2030,1,1),Junior_Annual_Salary*(1+Raise_Pct_Jan2027)*(1+Raise_Pct_Jan2028)*(1+Raise_Pct_Jan2029),Junior_Annual_Salary*(1+Raise_Pct_Jan2027)*(1+Raise_Pct_Jan2028)*(1+Raise_Pct_Jan2029)*(1+Raise_Pct_Jan2030)))))*Retention_Pct,0)</f>
        <v>0</v>
      </c>
      <c r="F33" s="24">
        <f>IF($B33=DATE(2026,8,1),SignOn_Bonus,0)</f>
        <v>0</v>
      </c>
      <c r="G33" s="24">
        <f>SUM(C33:F33)</f>
        <v>3192.0286666666675</v>
      </c>
      <c r="H33" s="11">
        <f>(1-Tax_Pct)*G33</f>
        <v>2346.1410700000006</v>
      </c>
    </row>
    <row r="34" spans="1:8" x14ac:dyDescent="0.3">
      <c r="A34" s="21" t="str">
        <f t="shared" si="0"/>
        <v>Senior</v>
      </c>
      <c r="B34" s="22">
        <f>EDATE($B$2,32)</f>
        <v>47209</v>
      </c>
      <c r="C34" s="24">
        <f>IF($B34&lt;DATE(2027,1,1),Junior_Annual_Salary,IF($B34&lt;DATE(2028,1,1),Junior_Annual_Salary*(1+Raise_Pct_Jan2027),IF($B34&lt;DATE(2029,1,1),Junior_Annual_Salary*(1+Raise_Pct_Jan2027)*(1+Raise_Pct_Jan2028),IF($B34&lt;DATE(2030,1,1),Junior_Annual_Salary*(1+Raise_Pct_Jan2027)*(1+Raise_Pct_Jan2028)*(1+Raise_Pct_Jan2029),Junior_Annual_Salary*(1+Raise_Pct_Jan2027)*(1+Raise_Pct_Jan2028)*(1+Raise_Pct_Jan2029)*(1+Raise_Pct_Jan2030)))))/12</f>
        <v>3192.0286666666675</v>
      </c>
      <c r="D34" s="24">
        <f>IF(MONTH($B34)=1,(Bonus_Months/2)*(IF(DATE(YEAR($B34)-1,7,1)&lt;DATE(2027,1,1),Junior_Annual_Salary,IF(DATE(YEAR($B34)-1,7,1)&lt;DATE(2028,1,1),Junior_Annual_Salary*(1+Raise_Pct_Jan2027),IF(DATE(YEAR($B34)-1,7,1)&lt;DATE(2029,1,1),Junior_Annual_Salary*(1+Raise_Pct_Jan2027)*(1+Raise_Pct_Jan2028),IF(DATE(YEAR($B34)-1,7,1)&lt;DATE(2030,1,1),Junior_Annual_Salary*(1+Raise_Pct_Jan2027)*(1+Raise_Pct_Jan2028)*(1+Raise_Pct_Jan2029),Junior_Annual_Salary*(1+Raise_Pct_Jan2027)*(1+Raise_Pct_Jan2028)*(1+Raise_Pct_Jan2029)*(1+Raise_Pct_Jan2030)))))/12)*IF(YEAR($B34)=2027,5/6,1),0)+IF(MONTH($B34)=7,(Bonus_Months/2)*(IF(DATE(YEAR($B34),1,1)&lt;DATE(2027,1,1),Junior_Annual_Salary,IF(DATE(YEAR($B34),1,1)&lt;DATE(2028,1,1),Junior_Annual_Salary*(1+Raise_Pct_Jan2027),IF(DATE(YEAR($B34),1,1)&lt;DATE(2029,1,1),Junior_Annual_Salary*(1+Raise_Pct_Jan2027)*(1+Raise_Pct_Jan2028),IF(DATE(YEAR($B34),1,1)&lt;DATE(2030,1,1),Junior_Annual_Salary*(1+Raise_Pct_Jan2027)*(1+Raise_Pct_Jan2028)*(1+Raise_Pct_Jan2029),Junior_Annual_Salary*(1+Raise_Pct_Jan2027)*(1+Raise_Pct_Jan2028)*(1+Raise_Pct_Jan2029)*(1+Raise_Pct_Jan2030)))))/12),0)</f>
        <v>0</v>
      </c>
      <c r="E34" s="24">
        <f>IF(AND(MONTH($B34)=1,YEAR($B34)&gt;=2027),IF(DATE(YEAR($B34),1,1)&lt;DATE(2027,1,1),Junior_Annual_Salary,IF(DATE(YEAR($B34),1,1)&lt;DATE(2028,1,1),Junior_Annual_Salary*(1+Raise_Pct_Jan2027),IF(DATE(YEAR($B34),1,1)&lt;DATE(2029,1,1),Junior_Annual_Salary*(1+Raise_Pct_Jan2027)*(1+Raise_Pct_Jan2028),IF(DATE(YEAR($B34),1,1)&lt;DATE(2030,1,1),Junior_Annual_Salary*(1+Raise_Pct_Jan2027)*(1+Raise_Pct_Jan2028)*(1+Raise_Pct_Jan2029),Junior_Annual_Salary*(1+Raise_Pct_Jan2027)*(1+Raise_Pct_Jan2028)*(1+Raise_Pct_Jan2029)*(1+Raise_Pct_Jan2030)))))*Retention_Pct,0)</f>
        <v>0</v>
      </c>
      <c r="F34" s="24">
        <f t="shared" ref="F34:F54" si="1">IF($B34=DATE(2026,8,1),SignOn_Bonus,0)</f>
        <v>0</v>
      </c>
      <c r="G34" s="24">
        <f t="shared" ref="G34:G54" si="2">SUM(C34:F34)</f>
        <v>3192.0286666666675</v>
      </c>
      <c r="H34" s="11">
        <f>(1-Tax_Pct)*G34</f>
        <v>2346.1410700000006</v>
      </c>
    </row>
    <row r="35" spans="1:8" x14ac:dyDescent="0.3">
      <c r="A35" s="21" t="str">
        <f t="shared" si="0"/>
        <v>Senior</v>
      </c>
      <c r="B35" s="22">
        <f>EDATE($B$2,33)</f>
        <v>47239</v>
      </c>
      <c r="C35" s="24">
        <f t="shared" ref="C35:C54" si="3">IF($B35&lt;DATE(2027,1,1),Junior_Annual_Salary,IF($B35&lt;DATE(2028,1,1),Junior_Annual_Salary*(1+Raise_Pct_Jan2027),IF($B35&lt;DATE(2029,1,1),Junior_Annual_Salary*(1+Raise_Pct_Jan2027)*(1+Raise_Pct_Jan2028),IF($B35&lt;DATE(2030,1,1),Junior_Annual_Salary*(1+Raise_Pct_Jan2027)*(1+Raise_Pct_Jan2028)*(1+Raise_Pct_Jan2029),Junior_Annual_Salary*(1+Raise_Pct_Jan2027)*(1+Raise_Pct_Jan2028)*(1+Raise_Pct_Jan2029)*(1+Raise_Pct_Jan2030)))))/12</f>
        <v>3192.0286666666675</v>
      </c>
      <c r="D35" s="24">
        <f>IF(MONTH($B35)=1,(Bonus_Months/2)*(IF(DATE(YEAR($B35)-1,7,1)&lt;DATE(2027,1,1),Junior_Annual_Salary,IF(DATE(YEAR($B35)-1,7,1)&lt;DATE(2028,1,1),Junior_Annual_Salary*(1+Raise_Pct_Jan2027),IF(DATE(YEAR($B35)-1,7,1)&lt;DATE(2029,1,1),Junior_Annual_Salary*(1+Raise_Pct_Jan2027)*(1+Raise_Pct_Jan2028),IF(DATE(YEAR($B35)-1,7,1)&lt;DATE(2030,1,1),Junior_Annual_Salary*(1+Raise_Pct_Jan2027)*(1+Raise_Pct_Jan2028)*(1+Raise_Pct_Jan2029),Junior_Annual_Salary*(1+Raise_Pct_Jan2027)*(1+Raise_Pct_Jan2028)*(1+Raise_Pct_Jan2029)*(1+Raise_Pct_Jan2030)))))/12)*IF(YEAR($B35)=2027,5/6,1),0)+IF(MONTH($B35)=7,(Bonus_Months/2)*(IF(DATE(YEAR($B35),1,1)&lt;DATE(2027,1,1),Junior_Annual_Salary,IF(DATE(YEAR($B35),1,1)&lt;DATE(2028,1,1),Junior_Annual_Salary*(1+Raise_Pct_Jan2027),IF(DATE(YEAR($B35),1,1)&lt;DATE(2029,1,1),Junior_Annual_Salary*(1+Raise_Pct_Jan2027)*(1+Raise_Pct_Jan2028),IF(DATE(YEAR($B35),1,1)&lt;DATE(2030,1,1),Junior_Annual_Salary*(1+Raise_Pct_Jan2027)*(1+Raise_Pct_Jan2028)*(1+Raise_Pct_Jan2029),Junior_Annual_Salary*(1+Raise_Pct_Jan2027)*(1+Raise_Pct_Jan2028)*(1+Raise_Pct_Jan2029)*(1+Raise_Pct_Jan2030)))))/12),0)</f>
        <v>0</v>
      </c>
      <c r="E35" s="24">
        <f>IF(AND(MONTH($B35)=1,YEAR($B35)&gt;=2027),IF(DATE(YEAR($B35),1,1)&lt;DATE(2027,1,1),Junior_Annual_Salary,IF(DATE(YEAR($B35),1,1)&lt;DATE(2028,1,1),Junior_Annual_Salary*(1+Raise_Pct_Jan2027),IF(DATE(YEAR($B35),1,1)&lt;DATE(2029,1,1),Junior_Annual_Salary*(1+Raise_Pct_Jan2027)*(1+Raise_Pct_Jan2028),IF(DATE(YEAR($B35),1,1)&lt;DATE(2030,1,1),Junior_Annual_Salary*(1+Raise_Pct_Jan2027)*(1+Raise_Pct_Jan2028)*(1+Raise_Pct_Jan2029),Junior_Annual_Salary*(1+Raise_Pct_Jan2027)*(1+Raise_Pct_Jan2028)*(1+Raise_Pct_Jan2029)*(1+Raise_Pct_Jan2030)))))*Retention_Pct,0)</f>
        <v>0</v>
      </c>
      <c r="F35" s="24">
        <f t="shared" si="1"/>
        <v>0</v>
      </c>
      <c r="G35" s="24">
        <f t="shared" si="2"/>
        <v>3192.0286666666675</v>
      </c>
      <c r="H35" s="11">
        <f>(1-Tax_Pct)*G35</f>
        <v>2346.1410700000006</v>
      </c>
    </row>
    <row r="36" spans="1:8" x14ac:dyDescent="0.3">
      <c r="A36" s="21" t="str">
        <f t="shared" si="0"/>
        <v>Senior</v>
      </c>
      <c r="B36" s="22">
        <f>EDATE($B$2,34)</f>
        <v>47270</v>
      </c>
      <c r="C36" s="24">
        <f t="shared" si="3"/>
        <v>3192.0286666666675</v>
      </c>
      <c r="D36" s="24">
        <f>IF(MONTH($B36)=1,(Bonus_Months/2)*(IF(DATE(YEAR($B36)-1,7,1)&lt;DATE(2027,1,1),Junior_Annual_Salary,IF(DATE(YEAR($B36)-1,7,1)&lt;DATE(2028,1,1),Junior_Annual_Salary*(1+Raise_Pct_Jan2027),IF(DATE(YEAR($B36)-1,7,1)&lt;DATE(2029,1,1),Junior_Annual_Salary*(1+Raise_Pct_Jan2027)*(1+Raise_Pct_Jan2028),IF(DATE(YEAR($B36)-1,7,1)&lt;DATE(2030,1,1),Junior_Annual_Salary*(1+Raise_Pct_Jan2027)*(1+Raise_Pct_Jan2028)*(1+Raise_Pct_Jan2029),Junior_Annual_Salary*(1+Raise_Pct_Jan2027)*(1+Raise_Pct_Jan2028)*(1+Raise_Pct_Jan2029)*(1+Raise_Pct_Jan2030)))))/12)*IF(YEAR($B36)=2027,5/6,1),0)+IF(MONTH($B36)=7,(Bonus_Months/2)*(IF(DATE(YEAR($B36),1,1)&lt;DATE(2027,1,1),Junior_Annual_Salary,IF(DATE(YEAR($B36),1,1)&lt;DATE(2028,1,1),Junior_Annual_Salary*(1+Raise_Pct_Jan2027),IF(DATE(YEAR($B36),1,1)&lt;DATE(2029,1,1),Junior_Annual_Salary*(1+Raise_Pct_Jan2027)*(1+Raise_Pct_Jan2028),IF(DATE(YEAR($B36),1,1)&lt;DATE(2030,1,1),Junior_Annual_Salary*(1+Raise_Pct_Jan2027)*(1+Raise_Pct_Jan2028)*(1+Raise_Pct_Jan2029),Junior_Annual_Salary*(1+Raise_Pct_Jan2027)*(1+Raise_Pct_Jan2028)*(1+Raise_Pct_Jan2029)*(1+Raise_Pct_Jan2030)))))/12),0)</f>
        <v>0</v>
      </c>
      <c r="E36" s="24">
        <f>IF(AND(MONTH($B36)=1,YEAR($B36)&gt;=2027),IF(DATE(YEAR($B36),1,1)&lt;DATE(2027,1,1),Junior_Annual_Salary,IF(DATE(YEAR($B36),1,1)&lt;DATE(2028,1,1),Junior_Annual_Salary*(1+Raise_Pct_Jan2027),IF(DATE(YEAR($B36),1,1)&lt;DATE(2029,1,1),Junior_Annual_Salary*(1+Raise_Pct_Jan2027)*(1+Raise_Pct_Jan2028),IF(DATE(YEAR($B36),1,1)&lt;DATE(2030,1,1),Junior_Annual_Salary*(1+Raise_Pct_Jan2027)*(1+Raise_Pct_Jan2028)*(1+Raise_Pct_Jan2029),Junior_Annual_Salary*(1+Raise_Pct_Jan2027)*(1+Raise_Pct_Jan2028)*(1+Raise_Pct_Jan2029)*(1+Raise_Pct_Jan2030)))))*Retention_Pct,0)</f>
        <v>0</v>
      </c>
      <c r="F36" s="24">
        <f t="shared" si="1"/>
        <v>0</v>
      </c>
      <c r="G36" s="24">
        <f t="shared" si="2"/>
        <v>3192.0286666666675</v>
      </c>
      <c r="H36" s="11">
        <f>(1-Tax_Pct)*G36</f>
        <v>2346.1410700000006</v>
      </c>
    </row>
    <row r="37" spans="1:8" x14ac:dyDescent="0.3">
      <c r="A37" s="21" t="str">
        <f t="shared" si="0"/>
        <v>Senior</v>
      </c>
      <c r="B37" s="22">
        <f>EDATE($B$2,35)</f>
        <v>47300</v>
      </c>
      <c r="C37" s="24">
        <f t="shared" si="3"/>
        <v>3192.0286666666675</v>
      </c>
      <c r="D37" s="24">
        <f>IF(MONTH($B37)=1,(Bonus_Months/2)*(IF(DATE(YEAR($B37)-1,7,1)&lt;DATE(2027,1,1),Junior_Annual_Salary,IF(DATE(YEAR($B37)-1,7,1)&lt;DATE(2028,1,1),Junior_Annual_Salary*(1+Raise_Pct_Jan2027),IF(DATE(YEAR($B37)-1,7,1)&lt;DATE(2029,1,1),Junior_Annual_Salary*(1+Raise_Pct_Jan2027)*(1+Raise_Pct_Jan2028),IF(DATE(YEAR($B37)-1,7,1)&lt;DATE(2030,1,1),Junior_Annual_Salary*(1+Raise_Pct_Jan2027)*(1+Raise_Pct_Jan2028)*(1+Raise_Pct_Jan2029),Junior_Annual_Salary*(1+Raise_Pct_Jan2027)*(1+Raise_Pct_Jan2028)*(1+Raise_Pct_Jan2029)*(1+Raise_Pct_Jan2030)))))/12)*IF(YEAR($B37)=2027,5/6,1),0)+IF(MONTH($B37)=7,(Bonus_Months/2)*(IF(DATE(YEAR($B37),1,1)&lt;DATE(2027,1,1),Junior_Annual_Salary,IF(DATE(YEAR($B37),1,1)&lt;DATE(2028,1,1),Junior_Annual_Salary*(1+Raise_Pct_Jan2027),IF(DATE(YEAR($B37),1,1)&lt;DATE(2029,1,1),Junior_Annual_Salary*(1+Raise_Pct_Jan2027)*(1+Raise_Pct_Jan2028),IF(DATE(YEAR($B37),1,1)&lt;DATE(2030,1,1),Junior_Annual_Salary*(1+Raise_Pct_Jan2027)*(1+Raise_Pct_Jan2028)*(1+Raise_Pct_Jan2029),Junior_Annual_Salary*(1+Raise_Pct_Jan2027)*(1+Raise_Pct_Jan2028)*(1+Raise_Pct_Jan2029)*(1+Raise_Pct_Jan2030)))))/12),0)</f>
        <v>3192.0286666666675</v>
      </c>
      <c r="E37" s="24">
        <f>IF(AND(MONTH($B37)=1,YEAR($B37)&gt;=2027),IF(DATE(YEAR($B37),1,1)&lt;DATE(2027,1,1),Junior_Annual_Salary,IF(DATE(YEAR($B37),1,1)&lt;DATE(2028,1,1),Junior_Annual_Salary*(1+Raise_Pct_Jan2027),IF(DATE(YEAR($B37),1,1)&lt;DATE(2029,1,1),Junior_Annual_Salary*(1+Raise_Pct_Jan2027)*(1+Raise_Pct_Jan2028),IF(DATE(YEAR($B37),1,1)&lt;DATE(2030,1,1),Junior_Annual_Salary*(1+Raise_Pct_Jan2027)*(1+Raise_Pct_Jan2028)*(1+Raise_Pct_Jan2029),Junior_Annual_Salary*(1+Raise_Pct_Jan2027)*(1+Raise_Pct_Jan2028)*(1+Raise_Pct_Jan2029)*(1+Raise_Pct_Jan2030)))))*Retention_Pct,0)</f>
        <v>0</v>
      </c>
      <c r="F37" s="24">
        <f t="shared" si="1"/>
        <v>0</v>
      </c>
      <c r="G37" s="24">
        <f t="shared" si="2"/>
        <v>6384.057333333335</v>
      </c>
      <c r="H37" s="11">
        <f>(1-Tax_Pct)*G37</f>
        <v>4692.2821400000012</v>
      </c>
    </row>
    <row r="38" spans="1:8" x14ac:dyDescent="0.3">
      <c r="A38" s="21" t="str">
        <f t="shared" si="0"/>
        <v>Senior</v>
      </c>
      <c r="B38" s="22">
        <f>EDATE($B$2,36)</f>
        <v>47331</v>
      </c>
      <c r="C38" s="24">
        <f t="shared" si="3"/>
        <v>3192.0286666666675</v>
      </c>
      <c r="D38" s="24">
        <f>IF(MONTH($B38)=1,(Bonus_Months/2)*(IF(DATE(YEAR($B38)-1,7,1)&lt;DATE(2027,1,1),Junior_Annual_Salary,IF(DATE(YEAR($B38)-1,7,1)&lt;DATE(2028,1,1),Junior_Annual_Salary*(1+Raise_Pct_Jan2027),IF(DATE(YEAR($B38)-1,7,1)&lt;DATE(2029,1,1),Junior_Annual_Salary*(1+Raise_Pct_Jan2027)*(1+Raise_Pct_Jan2028),IF(DATE(YEAR($B38)-1,7,1)&lt;DATE(2030,1,1),Junior_Annual_Salary*(1+Raise_Pct_Jan2027)*(1+Raise_Pct_Jan2028)*(1+Raise_Pct_Jan2029),Junior_Annual_Salary*(1+Raise_Pct_Jan2027)*(1+Raise_Pct_Jan2028)*(1+Raise_Pct_Jan2029)*(1+Raise_Pct_Jan2030)))))/12)*IF(YEAR($B38)=2027,5/6,1),0)+IF(MONTH($B38)=7,(Bonus_Months/2)*(IF(DATE(YEAR($B38),1,1)&lt;DATE(2027,1,1),Junior_Annual_Salary,IF(DATE(YEAR($B38),1,1)&lt;DATE(2028,1,1),Junior_Annual_Salary*(1+Raise_Pct_Jan2027),IF(DATE(YEAR($B38),1,1)&lt;DATE(2029,1,1),Junior_Annual_Salary*(1+Raise_Pct_Jan2027)*(1+Raise_Pct_Jan2028),IF(DATE(YEAR($B38),1,1)&lt;DATE(2030,1,1),Junior_Annual_Salary*(1+Raise_Pct_Jan2027)*(1+Raise_Pct_Jan2028)*(1+Raise_Pct_Jan2029),Junior_Annual_Salary*(1+Raise_Pct_Jan2027)*(1+Raise_Pct_Jan2028)*(1+Raise_Pct_Jan2029)*(1+Raise_Pct_Jan2030)))))/12),0)</f>
        <v>0</v>
      </c>
      <c r="E38" s="24">
        <f>IF(AND(MONTH($B38)=1,YEAR($B38)&gt;=2027),IF(DATE(YEAR($B38),1,1)&lt;DATE(2027,1,1),Junior_Annual_Salary,IF(DATE(YEAR($B38),1,1)&lt;DATE(2028,1,1),Junior_Annual_Salary*(1+Raise_Pct_Jan2027),IF(DATE(YEAR($B38),1,1)&lt;DATE(2029,1,1),Junior_Annual_Salary*(1+Raise_Pct_Jan2027)*(1+Raise_Pct_Jan2028),IF(DATE(YEAR($B38),1,1)&lt;DATE(2030,1,1),Junior_Annual_Salary*(1+Raise_Pct_Jan2027)*(1+Raise_Pct_Jan2028)*(1+Raise_Pct_Jan2029),Junior_Annual_Salary*(1+Raise_Pct_Jan2027)*(1+Raise_Pct_Jan2028)*(1+Raise_Pct_Jan2029)*(1+Raise_Pct_Jan2030)))))*Retention_Pct,0)</f>
        <v>0</v>
      </c>
      <c r="F38" s="24">
        <f t="shared" si="1"/>
        <v>0</v>
      </c>
      <c r="G38" s="24">
        <f t="shared" si="2"/>
        <v>3192.0286666666675</v>
      </c>
      <c r="H38" s="11">
        <f>(1-Tax_Pct)*G38</f>
        <v>2346.1410700000006</v>
      </c>
    </row>
    <row r="39" spans="1:8" x14ac:dyDescent="0.3">
      <c r="A39" s="21" t="str">
        <f t="shared" si="0"/>
        <v>Senior</v>
      </c>
      <c r="B39" s="22">
        <f>EDATE($B$2,37)</f>
        <v>47362</v>
      </c>
      <c r="C39" s="24">
        <f t="shared" si="3"/>
        <v>3192.0286666666675</v>
      </c>
      <c r="D39" s="24">
        <f>IF(MONTH($B39)=1,(Bonus_Months/2)*(IF(DATE(YEAR($B39)-1,7,1)&lt;DATE(2027,1,1),Junior_Annual_Salary,IF(DATE(YEAR($B39)-1,7,1)&lt;DATE(2028,1,1),Junior_Annual_Salary*(1+Raise_Pct_Jan2027),IF(DATE(YEAR($B39)-1,7,1)&lt;DATE(2029,1,1),Junior_Annual_Salary*(1+Raise_Pct_Jan2027)*(1+Raise_Pct_Jan2028),IF(DATE(YEAR($B39)-1,7,1)&lt;DATE(2030,1,1),Junior_Annual_Salary*(1+Raise_Pct_Jan2027)*(1+Raise_Pct_Jan2028)*(1+Raise_Pct_Jan2029),Junior_Annual_Salary*(1+Raise_Pct_Jan2027)*(1+Raise_Pct_Jan2028)*(1+Raise_Pct_Jan2029)*(1+Raise_Pct_Jan2030)))))/12)*IF(YEAR($B39)=2027,5/6,1),0)+IF(MONTH($B39)=7,(Bonus_Months/2)*(IF(DATE(YEAR($B39),1,1)&lt;DATE(2027,1,1),Junior_Annual_Salary,IF(DATE(YEAR($B39),1,1)&lt;DATE(2028,1,1),Junior_Annual_Salary*(1+Raise_Pct_Jan2027),IF(DATE(YEAR($B39),1,1)&lt;DATE(2029,1,1),Junior_Annual_Salary*(1+Raise_Pct_Jan2027)*(1+Raise_Pct_Jan2028),IF(DATE(YEAR($B39),1,1)&lt;DATE(2030,1,1),Junior_Annual_Salary*(1+Raise_Pct_Jan2027)*(1+Raise_Pct_Jan2028)*(1+Raise_Pct_Jan2029),Junior_Annual_Salary*(1+Raise_Pct_Jan2027)*(1+Raise_Pct_Jan2028)*(1+Raise_Pct_Jan2029)*(1+Raise_Pct_Jan2030)))))/12),0)</f>
        <v>0</v>
      </c>
      <c r="E39" s="24">
        <f>IF(AND(MONTH($B39)=1,YEAR($B39)&gt;=2027),IF(DATE(YEAR($B39),1,1)&lt;DATE(2027,1,1),Junior_Annual_Salary,IF(DATE(YEAR($B39),1,1)&lt;DATE(2028,1,1),Junior_Annual_Salary*(1+Raise_Pct_Jan2027),IF(DATE(YEAR($B39),1,1)&lt;DATE(2029,1,1),Junior_Annual_Salary*(1+Raise_Pct_Jan2027)*(1+Raise_Pct_Jan2028),IF(DATE(YEAR($B39),1,1)&lt;DATE(2030,1,1),Junior_Annual_Salary*(1+Raise_Pct_Jan2027)*(1+Raise_Pct_Jan2028)*(1+Raise_Pct_Jan2029),Junior_Annual_Salary*(1+Raise_Pct_Jan2027)*(1+Raise_Pct_Jan2028)*(1+Raise_Pct_Jan2029)*(1+Raise_Pct_Jan2030)))))*Retention_Pct,0)</f>
        <v>0</v>
      </c>
      <c r="F39" s="24">
        <f t="shared" si="1"/>
        <v>0</v>
      </c>
      <c r="G39" s="24">
        <f t="shared" si="2"/>
        <v>3192.0286666666675</v>
      </c>
      <c r="H39" s="11">
        <f>(1-Tax_Pct)*G39</f>
        <v>2346.1410700000006</v>
      </c>
    </row>
    <row r="40" spans="1:8" x14ac:dyDescent="0.3">
      <c r="A40" s="21" t="str">
        <f t="shared" si="0"/>
        <v>Senior</v>
      </c>
      <c r="B40" s="22">
        <f>EDATE($B$2,38)</f>
        <v>47392</v>
      </c>
      <c r="C40" s="24">
        <f t="shared" si="3"/>
        <v>3192.0286666666675</v>
      </c>
      <c r="D40" s="24">
        <f>IF(MONTH($B40)=1,(Bonus_Months/2)*(IF(DATE(YEAR($B40)-1,7,1)&lt;DATE(2027,1,1),Junior_Annual_Salary,IF(DATE(YEAR($B40)-1,7,1)&lt;DATE(2028,1,1),Junior_Annual_Salary*(1+Raise_Pct_Jan2027),IF(DATE(YEAR($B40)-1,7,1)&lt;DATE(2029,1,1),Junior_Annual_Salary*(1+Raise_Pct_Jan2027)*(1+Raise_Pct_Jan2028),IF(DATE(YEAR($B40)-1,7,1)&lt;DATE(2030,1,1),Junior_Annual_Salary*(1+Raise_Pct_Jan2027)*(1+Raise_Pct_Jan2028)*(1+Raise_Pct_Jan2029),Junior_Annual_Salary*(1+Raise_Pct_Jan2027)*(1+Raise_Pct_Jan2028)*(1+Raise_Pct_Jan2029)*(1+Raise_Pct_Jan2030)))))/12)*IF(YEAR($B40)=2027,5/6,1),0)+IF(MONTH($B40)=7,(Bonus_Months/2)*(IF(DATE(YEAR($B40),1,1)&lt;DATE(2027,1,1),Junior_Annual_Salary,IF(DATE(YEAR($B40),1,1)&lt;DATE(2028,1,1),Junior_Annual_Salary*(1+Raise_Pct_Jan2027),IF(DATE(YEAR($B40),1,1)&lt;DATE(2029,1,1),Junior_Annual_Salary*(1+Raise_Pct_Jan2027)*(1+Raise_Pct_Jan2028),IF(DATE(YEAR($B40),1,1)&lt;DATE(2030,1,1),Junior_Annual_Salary*(1+Raise_Pct_Jan2027)*(1+Raise_Pct_Jan2028)*(1+Raise_Pct_Jan2029),Junior_Annual_Salary*(1+Raise_Pct_Jan2027)*(1+Raise_Pct_Jan2028)*(1+Raise_Pct_Jan2029)*(1+Raise_Pct_Jan2030)))))/12),0)</f>
        <v>0</v>
      </c>
      <c r="E40" s="24">
        <f>IF(AND(MONTH($B40)=1,YEAR($B40)&gt;=2027),IF(DATE(YEAR($B40),1,1)&lt;DATE(2027,1,1),Junior_Annual_Salary,IF(DATE(YEAR($B40),1,1)&lt;DATE(2028,1,1),Junior_Annual_Salary*(1+Raise_Pct_Jan2027),IF(DATE(YEAR($B40),1,1)&lt;DATE(2029,1,1),Junior_Annual_Salary*(1+Raise_Pct_Jan2027)*(1+Raise_Pct_Jan2028),IF(DATE(YEAR($B40),1,1)&lt;DATE(2030,1,1),Junior_Annual_Salary*(1+Raise_Pct_Jan2027)*(1+Raise_Pct_Jan2028)*(1+Raise_Pct_Jan2029),Junior_Annual_Salary*(1+Raise_Pct_Jan2027)*(1+Raise_Pct_Jan2028)*(1+Raise_Pct_Jan2029)*(1+Raise_Pct_Jan2030)))))*Retention_Pct,0)</f>
        <v>0</v>
      </c>
      <c r="F40" s="24">
        <f t="shared" si="1"/>
        <v>0</v>
      </c>
      <c r="G40" s="24">
        <f t="shared" si="2"/>
        <v>3192.0286666666675</v>
      </c>
      <c r="H40" s="11">
        <f>(1-Tax_Pct)*G40</f>
        <v>2346.1410700000006</v>
      </c>
    </row>
    <row r="41" spans="1:8" x14ac:dyDescent="0.3">
      <c r="A41" s="21" t="str">
        <f t="shared" si="0"/>
        <v>Senior</v>
      </c>
      <c r="B41" s="22">
        <f>EDATE($B$2,39)</f>
        <v>47423</v>
      </c>
      <c r="C41" s="24">
        <f t="shared" si="3"/>
        <v>3192.0286666666675</v>
      </c>
      <c r="D41" s="24">
        <f>IF(MONTH($B41)=1,(Bonus_Months/2)*(IF(DATE(YEAR($B41)-1,7,1)&lt;DATE(2027,1,1),Junior_Annual_Salary,IF(DATE(YEAR($B41)-1,7,1)&lt;DATE(2028,1,1),Junior_Annual_Salary*(1+Raise_Pct_Jan2027),IF(DATE(YEAR($B41)-1,7,1)&lt;DATE(2029,1,1),Junior_Annual_Salary*(1+Raise_Pct_Jan2027)*(1+Raise_Pct_Jan2028),IF(DATE(YEAR($B41)-1,7,1)&lt;DATE(2030,1,1),Junior_Annual_Salary*(1+Raise_Pct_Jan2027)*(1+Raise_Pct_Jan2028)*(1+Raise_Pct_Jan2029),Junior_Annual_Salary*(1+Raise_Pct_Jan2027)*(1+Raise_Pct_Jan2028)*(1+Raise_Pct_Jan2029)*(1+Raise_Pct_Jan2030)))))/12)*IF(YEAR($B41)=2027,5/6,1),0)+IF(MONTH($B41)=7,(Bonus_Months/2)*(IF(DATE(YEAR($B41),1,1)&lt;DATE(2027,1,1),Junior_Annual_Salary,IF(DATE(YEAR($B41),1,1)&lt;DATE(2028,1,1),Junior_Annual_Salary*(1+Raise_Pct_Jan2027),IF(DATE(YEAR($B41),1,1)&lt;DATE(2029,1,1),Junior_Annual_Salary*(1+Raise_Pct_Jan2027)*(1+Raise_Pct_Jan2028),IF(DATE(YEAR($B41),1,1)&lt;DATE(2030,1,1),Junior_Annual_Salary*(1+Raise_Pct_Jan2027)*(1+Raise_Pct_Jan2028)*(1+Raise_Pct_Jan2029),Junior_Annual_Salary*(1+Raise_Pct_Jan2027)*(1+Raise_Pct_Jan2028)*(1+Raise_Pct_Jan2029)*(1+Raise_Pct_Jan2030)))))/12),0)</f>
        <v>0</v>
      </c>
      <c r="E41" s="24">
        <f>IF(AND(MONTH($B41)=1,YEAR($B41)&gt;=2027),IF(DATE(YEAR($B41),1,1)&lt;DATE(2027,1,1),Junior_Annual_Salary,IF(DATE(YEAR($B41),1,1)&lt;DATE(2028,1,1),Junior_Annual_Salary*(1+Raise_Pct_Jan2027),IF(DATE(YEAR($B41),1,1)&lt;DATE(2029,1,1),Junior_Annual_Salary*(1+Raise_Pct_Jan2027)*(1+Raise_Pct_Jan2028),IF(DATE(YEAR($B41),1,1)&lt;DATE(2030,1,1),Junior_Annual_Salary*(1+Raise_Pct_Jan2027)*(1+Raise_Pct_Jan2028)*(1+Raise_Pct_Jan2029),Junior_Annual_Salary*(1+Raise_Pct_Jan2027)*(1+Raise_Pct_Jan2028)*(1+Raise_Pct_Jan2029)*(1+Raise_Pct_Jan2030)))))*Retention_Pct,0)</f>
        <v>0</v>
      </c>
      <c r="F41" s="24">
        <f t="shared" si="1"/>
        <v>0</v>
      </c>
      <c r="G41" s="24">
        <f t="shared" si="2"/>
        <v>3192.0286666666675</v>
      </c>
      <c r="H41" s="11">
        <f>(1-Tax_Pct)*G41</f>
        <v>2346.1410700000006</v>
      </c>
    </row>
    <row r="42" spans="1:8" ht="15" customHeight="1" thickBot="1" x14ac:dyDescent="0.35">
      <c r="A42" s="25" t="str">
        <f t="shared" si="0"/>
        <v>Senior</v>
      </c>
      <c r="B42" s="26">
        <f>EDATE($B$2,40)</f>
        <v>47453</v>
      </c>
      <c r="C42" s="27">
        <f t="shared" si="3"/>
        <v>3192.0286666666675</v>
      </c>
      <c r="D42" s="27">
        <f>IF(MONTH($B42)=1,(Bonus_Months/2)*(IF(DATE(YEAR($B42)-1,7,1)&lt;DATE(2027,1,1),Junior_Annual_Salary,IF(DATE(YEAR($B42)-1,7,1)&lt;DATE(2028,1,1),Junior_Annual_Salary*(1+Raise_Pct_Jan2027),IF(DATE(YEAR($B42)-1,7,1)&lt;DATE(2029,1,1),Junior_Annual_Salary*(1+Raise_Pct_Jan2027)*(1+Raise_Pct_Jan2028),IF(DATE(YEAR($B42)-1,7,1)&lt;DATE(2030,1,1),Junior_Annual_Salary*(1+Raise_Pct_Jan2027)*(1+Raise_Pct_Jan2028)*(1+Raise_Pct_Jan2029),Junior_Annual_Salary*(1+Raise_Pct_Jan2027)*(1+Raise_Pct_Jan2028)*(1+Raise_Pct_Jan2029)*(1+Raise_Pct_Jan2030)))))/12)*IF(YEAR($B42)=2027,5/6,1),0)+IF(MONTH($B42)=7,(Bonus_Months/2)*(IF(DATE(YEAR($B42),1,1)&lt;DATE(2027,1,1),Junior_Annual_Salary,IF(DATE(YEAR($B42),1,1)&lt;DATE(2028,1,1),Junior_Annual_Salary*(1+Raise_Pct_Jan2027),IF(DATE(YEAR($B42),1,1)&lt;DATE(2029,1,1),Junior_Annual_Salary*(1+Raise_Pct_Jan2027)*(1+Raise_Pct_Jan2028),IF(DATE(YEAR($B42),1,1)&lt;DATE(2030,1,1),Junior_Annual_Salary*(1+Raise_Pct_Jan2027)*(1+Raise_Pct_Jan2028)*(1+Raise_Pct_Jan2029),Junior_Annual_Salary*(1+Raise_Pct_Jan2027)*(1+Raise_Pct_Jan2028)*(1+Raise_Pct_Jan2029)*(1+Raise_Pct_Jan2030)))))/12),0)</f>
        <v>0</v>
      </c>
      <c r="E42" s="27">
        <f>IF(AND(MONTH($B42)=1,YEAR($B42)&gt;=2027),IF(DATE(YEAR($B42),1,1)&lt;DATE(2027,1,1),Junior_Annual_Salary,IF(DATE(YEAR($B42),1,1)&lt;DATE(2028,1,1),Junior_Annual_Salary*(1+Raise_Pct_Jan2027),IF(DATE(YEAR($B42),1,1)&lt;DATE(2029,1,1),Junior_Annual_Salary*(1+Raise_Pct_Jan2027)*(1+Raise_Pct_Jan2028),IF(DATE(YEAR($B42),1,1)&lt;DATE(2030,1,1),Junior_Annual_Salary*(1+Raise_Pct_Jan2027)*(1+Raise_Pct_Jan2028)*(1+Raise_Pct_Jan2029),Junior_Annual_Salary*(1+Raise_Pct_Jan2027)*(1+Raise_Pct_Jan2028)*(1+Raise_Pct_Jan2029)*(1+Raise_Pct_Jan2030)))))*Retention_Pct,0)</f>
        <v>0</v>
      </c>
      <c r="F42" s="27">
        <f t="shared" si="1"/>
        <v>0</v>
      </c>
      <c r="G42" s="27">
        <f t="shared" si="2"/>
        <v>3192.0286666666675</v>
      </c>
      <c r="H42" s="11">
        <f>(1-Tax_Pct)*G42</f>
        <v>2346.1410700000006</v>
      </c>
    </row>
    <row r="43" spans="1:8" ht="15" customHeight="1" thickTop="1" x14ac:dyDescent="0.3">
      <c r="A43" s="21" t="s">
        <v>40</v>
      </c>
      <c r="B43" s="22">
        <f>EDATE($B$2,41)</f>
        <v>47484</v>
      </c>
      <c r="C43" s="6">
        <f t="shared" si="3"/>
        <v>3575.0721066666683</v>
      </c>
      <c r="D43" s="24">
        <f>IF(MONTH($B43)=1,(Bonus_Months/2)*(IF(DATE(YEAR($B43)-1,7,1)&lt;DATE(2027,1,1),Junior_Annual_Salary,IF(DATE(YEAR($B43)-1,7,1)&lt;DATE(2028,1,1),Junior_Annual_Salary*(1+Raise_Pct_Jan2027),IF(DATE(YEAR($B43)-1,7,1)&lt;DATE(2029,1,1),Junior_Annual_Salary*(1+Raise_Pct_Jan2027)*(1+Raise_Pct_Jan2028),IF(DATE(YEAR($B43)-1,7,1)&lt;DATE(2030,1,1),Junior_Annual_Salary*(1+Raise_Pct_Jan2027)*(1+Raise_Pct_Jan2028)*(1+Raise_Pct_Jan2029),Junior_Annual_Salary*(1+Raise_Pct_Jan2027)*(1+Raise_Pct_Jan2028)*(1+Raise_Pct_Jan2029)*(1+Raise_Pct_Jan2030)))))/12)*IF(YEAR($B43)=2027,5/6,1),0)+IF(MONTH($B43)=7,(Bonus_Months/2)*(IF(DATE(YEAR($B43),1,1)&lt;DATE(2027,1,1),Junior_Annual_Salary,IF(DATE(YEAR($B43),1,1)&lt;DATE(2028,1,1),Junior_Annual_Salary*(1+Raise_Pct_Jan2027),IF(DATE(YEAR($B43),1,1)&lt;DATE(2029,1,1),Junior_Annual_Salary*(1+Raise_Pct_Jan2027)*(1+Raise_Pct_Jan2028),IF(DATE(YEAR($B43),1,1)&lt;DATE(2030,1,1),Junior_Annual_Salary*(1+Raise_Pct_Jan2027)*(1+Raise_Pct_Jan2028)*(1+Raise_Pct_Jan2029),Junior_Annual_Salary*(1+Raise_Pct_Jan2027)*(1+Raise_Pct_Jan2028)*(1+Raise_Pct_Jan2029)*(1+Raise_Pct_Jan2030)))))/12),0)</f>
        <v>3192.0286666666675</v>
      </c>
      <c r="E43" s="11">
        <f>IF(AND(MONTH($B43)=1,YEAR($B43)&gt;=2027),IF(DATE(YEAR($B43),1,1)&lt;DATE(2027,1,1),Junior_Annual_Salary,IF(DATE(YEAR($B43),1,1)&lt;DATE(2028,1,1),Junior_Annual_Salary*(1+Raise_Pct_Jan2027),IF(DATE(YEAR($B43),1,1)&lt;DATE(2029,1,1),Junior_Annual_Salary*(1+Raise_Pct_Jan2027)*(1+Raise_Pct_Jan2028),IF(DATE(YEAR($B43),1,1)&lt;DATE(2030,1,1),Junior_Annual_Salary*(1+Raise_Pct_Jan2027)*(1+Raise_Pct_Jan2028)*(1+Raise_Pct_Jan2029),Junior_Annual_Salary*(1+Raise_Pct_Jan2027)*(1+Raise_Pct_Jan2028)*(1+Raise_Pct_Jan2029)*(1+Raise_Pct_Jan2030+Promotion_Pct_Jan2030)))))*IF(YEAR($B43)=2027,Retention_Pct_Senior_2027,IF(YEAR($B43)=2028,Retention_Pct_Senior_2028,IF(YEAR($B43)=2029,Retention_Pct_Senior_2029,Retention_Pct_Staff_2030))),0)</f>
        <v>6435.1297920000025</v>
      </c>
      <c r="F43" s="24">
        <f t="shared" si="1"/>
        <v>0</v>
      </c>
      <c r="G43" s="24">
        <f t="shared" si="2"/>
        <v>13202.230565333339</v>
      </c>
      <c r="H43" s="11">
        <f>(1-Tax_Pct)*G43</f>
        <v>9703.6394655200038</v>
      </c>
    </row>
    <row r="44" spans="1:8" x14ac:dyDescent="0.3">
      <c r="A44" s="21" t="s">
        <v>40</v>
      </c>
      <c r="B44" s="22">
        <f>EDATE($B$2,42)</f>
        <v>47515</v>
      </c>
      <c r="C44" s="6">
        <f t="shared" si="3"/>
        <v>3575.0721066666683</v>
      </c>
      <c r="D44" s="24">
        <f>IF(MONTH($B44)=1,(Bonus_Months/2)*(IF(DATE(YEAR($B44)-1,7,1)&lt;DATE(2027,1,1),Junior_Annual_Salary,IF(DATE(YEAR($B44)-1,7,1)&lt;DATE(2028,1,1),Junior_Annual_Salary*(1+Raise_Pct_Jan2027),IF(DATE(YEAR($B44)-1,7,1)&lt;DATE(2029,1,1),Junior_Annual_Salary*(1+Raise_Pct_Jan2027)*(1+Raise_Pct_Jan2028),IF(DATE(YEAR($B44)-1,7,1)&lt;DATE(2030,1,1),Junior_Annual_Salary*(1+Raise_Pct_Jan2027)*(1+Raise_Pct_Jan2028)*(1+Raise_Pct_Jan2029),Junior_Annual_Salary*(1+Raise_Pct_Jan2027)*(1+Raise_Pct_Jan2028)*(1+Raise_Pct_Jan2029)*(1+Raise_Pct_Jan2030)))))/12)*IF(YEAR($B44)=2027,5/6,1),0)+IF(MONTH($B44)=7,(Bonus_Months/2)*(IF(DATE(YEAR($B44),1,1)&lt;DATE(2027,1,1),Junior_Annual_Salary,IF(DATE(YEAR($B44),1,1)&lt;DATE(2028,1,1),Junior_Annual_Salary*(1+Raise_Pct_Jan2027),IF(DATE(YEAR($B44),1,1)&lt;DATE(2029,1,1),Junior_Annual_Salary*(1+Raise_Pct_Jan2027)*(1+Raise_Pct_Jan2028),IF(DATE(YEAR($B44),1,1)&lt;DATE(2030,1,1),Junior_Annual_Salary*(1+Raise_Pct_Jan2027)*(1+Raise_Pct_Jan2028)*(1+Raise_Pct_Jan2029),Junior_Annual_Salary*(1+Raise_Pct_Jan2027)*(1+Raise_Pct_Jan2028)*(1+Raise_Pct_Jan2029)*(1+Raise_Pct_Jan2030)))))/12),0)</f>
        <v>0</v>
      </c>
      <c r="E44" s="24">
        <f>IF(AND(MONTH($B44)=1,YEAR($B44)&gt;=2027),IF(DATE(YEAR($B44),1,1)&lt;DATE(2027,1,1),Junior_Annual_Salary,IF(DATE(YEAR($B44),1,1)&lt;DATE(2028,1,1),Junior_Annual_Salary*(1+Raise_Pct_Jan2027),IF(DATE(YEAR($B44),1,1)&lt;DATE(2029,1,1),Junior_Annual_Salary*(1+Raise_Pct_Jan2027)*(1+Raise_Pct_Jan2028),IF(DATE(YEAR($B44),1,1)&lt;DATE(2030,1,1),Junior_Annual_Salary*(1+Raise_Pct_Jan2027)*(1+Raise_Pct_Jan2028)*(1+Raise_Pct_Jan2029),Junior_Annual_Salary*(1+Raise_Pct_Jan2027)*(1+Raise_Pct_Jan2028)*(1+Raise_Pct_Jan2029)*(1+Raise_Pct_Jan2030)))))*Retention_Pct,0)</f>
        <v>0</v>
      </c>
      <c r="F44" s="24">
        <f t="shared" si="1"/>
        <v>0</v>
      </c>
      <c r="G44" s="24">
        <f t="shared" si="2"/>
        <v>3575.0721066666683</v>
      </c>
      <c r="H44" s="11">
        <f>(1-Tax_Pct)*G44</f>
        <v>2627.6779984000013</v>
      </c>
    </row>
    <row r="45" spans="1:8" x14ac:dyDescent="0.3">
      <c r="A45" s="21" t="s">
        <v>40</v>
      </c>
      <c r="B45" s="22">
        <f>EDATE($B$2,43)</f>
        <v>47543</v>
      </c>
      <c r="C45" s="6">
        <f t="shared" si="3"/>
        <v>3575.0721066666683</v>
      </c>
      <c r="D45" s="24">
        <f>IF(MONTH($B45)=1,(Bonus_Months/2)*(IF(DATE(YEAR($B45)-1,7,1)&lt;DATE(2027,1,1),Junior_Annual_Salary,IF(DATE(YEAR($B45)-1,7,1)&lt;DATE(2028,1,1),Junior_Annual_Salary*(1+Raise_Pct_Jan2027),IF(DATE(YEAR($B45)-1,7,1)&lt;DATE(2029,1,1),Junior_Annual_Salary*(1+Raise_Pct_Jan2027)*(1+Raise_Pct_Jan2028),IF(DATE(YEAR($B45)-1,7,1)&lt;DATE(2030,1,1),Junior_Annual_Salary*(1+Raise_Pct_Jan2027)*(1+Raise_Pct_Jan2028)*(1+Raise_Pct_Jan2029),Junior_Annual_Salary*(1+Raise_Pct_Jan2027)*(1+Raise_Pct_Jan2028)*(1+Raise_Pct_Jan2029)*(1+Raise_Pct_Jan2030)))))/12)*IF(YEAR($B45)=2027,5/6,1),0)+IF(MONTH($B45)=7,(Bonus_Months/2)*(IF(DATE(YEAR($B45),1,1)&lt;DATE(2027,1,1),Junior_Annual_Salary,IF(DATE(YEAR($B45),1,1)&lt;DATE(2028,1,1),Junior_Annual_Salary*(1+Raise_Pct_Jan2027),IF(DATE(YEAR($B45),1,1)&lt;DATE(2029,1,1),Junior_Annual_Salary*(1+Raise_Pct_Jan2027)*(1+Raise_Pct_Jan2028),IF(DATE(YEAR($B45),1,1)&lt;DATE(2030,1,1),Junior_Annual_Salary*(1+Raise_Pct_Jan2027)*(1+Raise_Pct_Jan2028)*(1+Raise_Pct_Jan2029),Junior_Annual_Salary*(1+Raise_Pct_Jan2027)*(1+Raise_Pct_Jan2028)*(1+Raise_Pct_Jan2029)*(1+Raise_Pct_Jan2030)))))/12),0)</f>
        <v>0</v>
      </c>
      <c r="E45" s="24">
        <f>IF(AND(MONTH($B45)=1,YEAR($B45)&gt;=2027),IF(DATE(YEAR($B45),1,1)&lt;DATE(2027,1,1),Junior_Annual_Salary,IF(DATE(YEAR($B45),1,1)&lt;DATE(2028,1,1),Junior_Annual_Salary*(1+Raise_Pct_Jan2027),IF(DATE(YEAR($B45),1,1)&lt;DATE(2029,1,1),Junior_Annual_Salary*(1+Raise_Pct_Jan2027)*(1+Raise_Pct_Jan2028),IF(DATE(YEAR($B45),1,1)&lt;DATE(2030,1,1),Junior_Annual_Salary*(1+Raise_Pct_Jan2027)*(1+Raise_Pct_Jan2028)*(1+Raise_Pct_Jan2029),Junior_Annual_Salary*(1+Raise_Pct_Jan2027)*(1+Raise_Pct_Jan2028)*(1+Raise_Pct_Jan2029)*(1+Raise_Pct_Jan2030)))))*Retention_Pct,0)</f>
        <v>0</v>
      </c>
      <c r="F45" s="24">
        <f t="shared" si="1"/>
        <v>0</v>
      </c>
      <c r="G45" s="24">
        <f t="shared" si="2"/>
        <v>3575.0721066666683</v>
      </c>
      <c r="H45" s="11">
        <f>(1-Tax_Pct)*G45</f>
        <v>2627.6779984000013</v>
      </c>
    </row>
    <row r="46" spans="1:8" x14ac:dyDescent="0.3">
      <c r="A46" s="21" t="s">
        <v>40</v>
      </c>
      <c r="B46" s="22">
        <f>EDATE($B$2,44)</f>
        <v>47574</v>
      </c>
      <c r="C46" s="6">
        <f t="shared" si="3"/>
        <v>3575.0721066666683</v>
      </c>
      <c r="D46" s="24">
        <f>IF(MONTH($B46)=1,(Bonus_Months/2)*(IF(DATE(YEAR($B46)-1,7,1)&lt;DATE(2027,1,1),Junior_Annual_Salary,IF(DATE(YEAR($B46)-1,7,1)&lt;DATE(2028,1,1),Junior_Annual_Salary*(1+Raise_Pct_Jan2027),IF(DATE(YEAR($B46)-1,7,1)&lt;DATE(2029,1,1),Junior_Annual_Salary*(1+Raise_Pct_Jan2027)*(1+Raise_Pct_Jan2028),IF(DATE(YEAR($B46)-1,7,1)&lt;DATE(2030,1,1),Junior_Annual_Salary*(1+Raise_Pct_Jan2027)*(1+Raise_Pct_Jan2028)*(1+Raise_Pct_Jan2029),Junior_Annual_Salary*(1+Raise_Pct_Jan2027)*(1+Raise_Pct_Jan2028)*(1+Raise_Pct_Jan2029)*(1+Raise_Pct_Jan2030)))))/12)*IF(YEAR($B46)=2027,5/6,1),0)+IF(MONTH($B46)=7,(Bonus_Months/2)*(IF(DATE(YEAR($B46),1,1)&lt;DATE(2027,1,1),Junior_Annual_Salary,IF(DATE(YEAR($B46),1,1)&lt;DATE(2028,1,1),Junior_Annual_Salary*(1+Raise_Pct_Jan2027),IF(DATE(YEAR($B46),1,1)&lt;DATE(2029,1,1),Junior_Annual_Salary*(1+Raise_Pct_Jan2027)*(1+Raise_Pct_Jan2028),IF(DATE(YEAR($B46),1,1)&lt;DATE(2030,1,1),Junior_Annual_Salary*(1+Raise_Pct_Jan2027)*(1+Raise_Pct_Jan2028)*(1+Raise_Pct_Jan2029),Junior_Annual_Salary*(1+Raise_Pct_Jan2027)*(1+Raise_Pct_Jan2028)*(1+Raise_Pct_Jan2029)*(1+Raise_Pct_Jan2030)))))/12),0)</f>
        <v>0</v>
      </c>
      <c r="E46" s="24">
        <f>IF(AND(MONTH($B46)=1,YEAR($B46)&gt;=2027),IF(DATE(YEAR($B46),1,1)&lt;DATE(2027,1,1),Junior_Annual_Salary,IF(DATE(YEAR($B46),1,1)&lt;DATE(2028,1,1),Junior_Annual_Salary*(1+Raise_Pct_Jan2027),IF(DATE(YEAR($B46),1,1)&lt;DATE(2029,1,1),Junior_Annual_Salary*(1+Raise_Pct_Jan2027)*(1+Raise_Pct_Jan2028),IF(DATE(YEAR($B46),1,1)&lt;DATE(2030,1,1),Junior_Annual_Salary*(1+Raise_Pct_Jan2027)*(1+Raise_Pct_Jan2028)*(1+Raise_Pct_Jan2029),Junior_Annual_Salary*(1+Raise_Pct_Jan2027)*(1+Raise_Pct_Jan2028)*(1+Raise_Pct_Jan2029)*(1+Raise_Pct_Jan2030)))))*Retention_Pct,0)</f>
        <v>0</v>
      </c>
      <c r="F46" s="24">
        <f t="shared" si="1"/>
        <v>0</v>
      </c>
      <c r="G46" s="24">
        <f t="shared" si="2"/>
        <v>3575.0721066666683</v>
      </c>
      <c r="H46" s="11">
        <f>(1-Tax_Pct)*G46</f>
        <v>2627.6779984000013</v>
      </c>
    </row>
    <row r="47" spans="1:8" x14ac:dyDescent="0.3">
      <c r="A47" s="21" t="s">
        <v>40</v>
      </c>
      <c r="B47" s="22">
        <f>EDATE($B$2,45)</f>
        <v>47604</v>
      </c>
      <c r="C47" s="6">
        <f t="shared" si="3"/>
        <v>3575.0721066666683</v>
      </c>
      <c r="D47" s="24">
        <f>IF(MONTH($B47)=1,(Bonus_Months/2)*(IF(DATE(YEAR($B47)-1,7,1)&lt;DATE(2027,1,1),Junior_Annual_Salary,IF(DATE(YEAR($B47)-1,7,1)&lt;DATE(2028,1,1),Junior_Annual_Salary*(1+Raise_Pct_Jan2027),IF(DATE(YEAR($B47)-1,7,1)&lt;DATE(2029,1,1),Junior_Annual_Salary*(1+Raise_Pct_Jan2027)*(1+Raise_Pct_Jan2028),IF(DATE(YEAR($B47)-1,7,1)&lt;DATE(2030,1,1),Junior_Annual_Salary*(1+Raise_Pct_Jan2027)*(1+Raise_Pct_Jan2028)*(1+Raise_Pct_Jan2029),Junior_Annual_Salary*(1+Raise_Pct_Jan2027)*(1+Raise_Pct_Jan2028)*(1+Raise_Pct_Jan2029)*(1+Raise_Pct_Jan2030)))))/12)*IF(YEAR($B47)=2027,5/6,1),0)+IF(MONTH($B47)=7,(Bonus_Months/2)*(IF(DATE(YEAR($B47),1,1)&lt;DATE(2027,1,1),Junior_Annual_Salary,IF(DATE(YEAR($B47),1,1)&lt;DATE(2028,1,1),Junior_Annual_Salary*(1+Raise_Pct_Jan2027),IF(DATE(YEAR($B47),1,1)&lt;DATE(2029,1,1),Junior_Annual_Salary*(1+Raise_Pct_Jan2027)*(1+Raise_Pct_Jan2028),IF(DATE(YEAR($B47),1,1)&lt;DATE(2030,1,1),Junior_Annual_Salary*(1+Raise_Pct_Jan2027)*(1+Raise_Pct_Jan2028)*(1+Raise_Pct_Jan2029),Junior_Annual_Salary*(1+Raise_Pct_Jan2027)*(1+Raise_Pct_Jan2028)*(1+Raise_Pct_Jan2029)*(1+Raise_Pct_Jan2030)))))/12),0)</f>
        <v>0</v>
      </c>
      <c r="E47" s="24">
        <f>IF(AND(MONTH($B47)=1,YEAR($B47)&gt;=2027),IF(DATE(YEAR($B47),1,1)&lt;DATE(2027,1,1),Junior_Annual_Salary,IF(DATE(YEAR($B47),1,1)&lt;DATE(2028,1,1),Junior_Annual_Salary*(1+Raise_Pct_Jan2027),IF(DATE(YEAR($B47),1,1)&lt;DATE(2029,1,1),Junior_Annual_Salary*(1+Raise_Pct_Jan2027)*(1+Raise_Pct_Jan2028),IF(DATE(YEAR($B47),1,1)&lt;DATE(2030,1,1),Junior_Annual_Salary*(1+Raise_Pct_Jan2027)*(1+Raise_Pct_Jan2028)*(1+Raise_Pct_Jan2029),Junior_Annual_Salary*(1+Raise_Pct_Jan2027)*(1+Raise_Pct_Jan2028)*(1+Raise_Pct_Jan2029)*(1+Raise_Pct_Jan2030)))))*Retention_Pct,0)</f>
        <v>0</v>
      </c>
      <c r="F47" s="24">
        <f t="shared" si="1"/>
        <v>0</v>
      </c>
      <c r="G47" s="24">
        <f t="shared" si="2"/>
        <v>3575.0721066666683</v>
      </c>
      <c r="H47" s="11">
        <f>(1-Tax_Pct)*G47</f>
        <v>2627.6779984000013</v>
      </c>
    </row>
    <row r="48" spans="1:8" x14ac:dyDescent="0.3">
      <c r="A48" s="21" t="s">
        <v>40</v>
      </c>
      <c r="B48" s="22">
        <f>EDATE($B$2,46)</f>
        <v>47635</v>
      </c>
      <c r="C48" s="6">
        <f t="shared" si="3"/>
        <v>3575.0721066666683</v>
      </c>
      <c r="D48" s="24">
        <f>IF(MONTH($B48)=1,(Bonus_Months/2)*(IF(DATE(YEAR($B48)-1,7,1)&lt;DATE(2027,1,1),Junior_Annual_Salary,IF(DATE(YEAR($B48)-1,7,1)&lt;DATE(2028,1,1),Junior_Annual_Salary*(1+Raise_Pct_Jan2027),IF(DATE(YEAR($B48)-1,7,1)&lt;DATE(2029,1,1),Junior_Annual_Salary*(1+Raise_Pct_Jan2027)*(1+Raise_Pct_Jan2028),IF(DATE(YEAR($B48)-1,7,1)&lt;DATE(2030,1,1),Junior_Annual_Salary*(1+Raise_Pct_Jan2027)*(1+Raise_Pct_Jan2028)*(1+Raise_Pct_Jan2029),Junior_Annual_Salary*(1+Raise_Pct_Jan2027)*(1+Raise_Pct_Jan2028)*(1+Raise_Pct_Jan2029)*(1+Raise_Pct_Jan2030)))))/12)*IF(YEAR($B48)=2027,5/6,1),0)+IF(MONTH($B48)=7,(Bonus_Months/2)*(IF(DATE(YEAR($B48),1,1)&lt;DATE(2027,1,1),Junior_Annual_Salary,IF(DATE(YEAR($B48),1,1)&lt;DATE(2028,1,1),Junior_Annual_Salary*(1+Raise_Pct_Jan2027),IF(DATE(YEAR($B48),1,1)&lt;DATE(2029,1,1),Junior_Annual_Salary*(1+Raise_Pct_Jan2027)*(1+Raise_Pct_Jan2028),IF(DATE(YEAR($B48),1,1)&lt;DATE(2030,1,1),Junior_Annual_Salary*(1+Raise_Pct_Jan2027)*(1+Raise_Pct_Jan2028)*(1+Raise_Pct_Jan2029),Junior_Annual_Salary*(1+Raise_Pct_Jan2027)*(1+Raise_Pct_Jan2028)*(1+Raise_Pct_Jan2029)*(1+Raise_Pct_Jan2030)))))/12),0)</f>
        <v>0</v>
      </c>
      <c r="E48" s="24">
        <f>IF(AND(MONTH($B48)=1,YEAR($B48)&gt;=2027),IF(DATE(YEAR($B48),1,1)&lt;DATE(2027,1,1),Junior_Annual_Salary,IF(DATE(YEAR($B48),1,1)&lt;DATE(2028,1,1),Junior_Annual_Salary*(1+Raise_Pct_Jan2027),IF(DATE(YEAR($B48),1,1)&lt;DATE(2029,1,1),Junior_Annual_Salary*(1+Raise_Pct_Jan2027)*(1+Raise_Pct_Jan2028),IF(DATE(YEAR($B48),1,1)&lt;DATE(2030,1,1),Junior_Annual_Salary*(1+Raise_Pct_Jan2027)*(1+Raise_Pct_Jan2028)*(1+Raise_Pct_Jan2029),Junior_Annual_Salary*(1+Raise_Pct_Jan2027)*(1+Raise_Pct_Jan2028)*(1+Raise_Pct_Jan2029)*(1+Raise_Pct_Jan2030)))))*Retention_Pct,0)</f>
        <v>0</v>
      </c>
      <c r="F48" s="24">
        <f t="shared" si="1"/>
        <v>0</v>
      </c>
      <c r="G48" s="24">
        <f t="shared" si="2"/>
        <v>3575.0721066666683</v>
      </c>
      <c r="H48" s="11">
        <f>(1-Tax_Pct)*G48</f>
        <v>2627.6779984000013</v>
      </c>
    </row>
    <row r="49" spans="1:8" x14ac:dyDescent="0.3">
      <c r="A49" s="21" t="s">
        <v>40</v>
      </c>
      <c r="B49" s="22">
        <f>EDATE($B$2,47)</f>
        <v>47665</v>
      </c>
      <c r="C49" s="6">
        <f t="shared" si="3"/>
        <v>3575.0721066666683</v>
      </c>
      <c r="D49" s="6">
        <f>+IF(MONTH($B49)=7,(IF(YEAR($B49)&gt;=2030,Staff_Bonus_Months,Senior_Bonus_Months)/2)*(IF(DATE(YEAR($B49),1,1)&lt;DATE(2027,1,1),Junior_Annual_Salary,IF(DATE(YEAR($B49),1,1)&lt;DATE(2028,1,1),Junior_Annual_Salary*(1+Raise_Pct_Jan2027),IF(DATE(YEAR($B49),1,1)&lt;DATE(2029,1,1),Junior_Annual_Salary*(1+Raise_Pct_Jan2027)*(1+Raise_Pct_Jan2028),IF(DATE(YEAR($B49),1,1)&lt;DATE(2030,1,1),Junior_Annual_Salary*(1+Raise_Pct_Jan2027)*(1+Raise_Pct_Jan2028)*(1+Raise_Pct_Jan2029),Junior_Annual_Salary*(1+Raise_Pct_Jan2027)*(1+Raise_Pct_Jan2028)*(1+Raise_Pct_Jan2029)*(1+Raise_Pct_Jan2030+Promotion_Pct_Jan2030)))))/12),0)</f>
        <v>5362.6081600000025</v>
      </c>
      <c r="E49" s="24">
        <f>IF(AND(MONTH($B49)=1,YEAR($B49)&gt;=2027),IF(DATE(YEAR($B49),1,1)&lt;DATE(2027,1,1),Junior_Annual_Salary,IF(DATE(YEAR($B49),1,1)&lt;DATE(2028,1,1),Junior_Annual_Salary*(1+Raise_Pct_Jan2027),IF(DATE(YEAR($B49),1,1)&lt;DATE(2029,1,1),Junior_Annual_Salary*(1+Raise_Pct_Jan2027)*(1+Raise_Pct_Jan2028),IF(DATE(YEAR($B49),1,1)&lt;DATE(2030,1,1),Junior_Annual_Salary*(1+Raise_Pct_Jan2027)*(1+Raise_Pct_Jan2028)*(1+Raise_Pct_Jan2029),Junior_Annual_Salary*(1+Raise_Pct_Jan2027)*(1+Raise_Pct_Jan2028)*(1+Raise_Pct_Jan2029)*(1+Raise_Pct_Jan2030)))))*Retention_Pct,0)</f>
        <v>0</v>
      </c>
      <c r="F49" s="24">
        <f t="shared" si="1"/>
        <v>0</v>
      </c>
      <c r="G49" s="24">
        <f t="shared" si="2"/>
        <v>8937.6802666666699</v>
      </c>
      <c r="H49" s="11">
        <f>(1-Tax_Pct)*G49</f>
        <v>6569.194996000002</v>
      </c>
    </row>
    <row r="50" spans="1:8" x14ac:dyDescent="0.3">
      <c r="A50" s="21" t="s">
        <v>40</v>
      </c>
      <c r="B50" s="22">
        <f>EDATE($B$2,48)</f>
        <v>47696</v>
      </c>
      <c r="C50" s="6">
        <f t="shared" si="3"/>
        <v>3575.0721066666683</v>
      </c>
      <c r="D50" s="24">
        <f>IF(MONTH($B50)=1,(Bonus_Months/2)*(IF(DATE(YEAR($B50)-1,7,1)&lt;DATE(2027,1,1),Junior_Annual_Salary,IF(DATE(YEAR($B50)-1,7,1)&lt;DATE(2028,1,1),Junior_Annual_Salary*(1+Raise_Pct_Jan2027),IF(DATE(YEAR($B50)-1,7,1)&lt;DATE(2029,1,1),Junior_Annual_Salary*(1+Raise_Pct_Jan2027)*(1+Raise_Pct_Jan2028),IF(DATE(YEAR($B50)-1,7,1)&lt;DATE(2030,1,1),Junior_Annual_Salary*(1+Raise_Pct_Jan2027)*(1+Raise_Pct_Jan2028)*(1+Raise_Pct_Jan2029),Junior_Annual_Salary*(1+Raise_Pct_Jan2027)*(1+Raise_Pct_Jan2028)*(1+Raise_Pct_Jan2029)*(1+Raise_Pct_Jan2030)))))/12)*IF(YEAR($B50)=2027,5/6,1),0)+IF(MONTH($B50)=7,(Bonus_Months/2)*(IF(DATE(YEAR($B50),1,1)&lt;DATE(2027,1,1),Junior_Annual_Salary,IF(DATE(YEAR($B50),1,1)&lt;DATE(2028,1,1),Junior_Annual_Salary*(1+Raise_Pct_Jan2027),IF(DATE(YEAR($B50),1,1)&lt;DATE(2029,1,1),Junior_Annual_Salary*(1+Raise_Pct_Jan2027)*(1+Raise_Pct_Jan2028),IF(DATE(YEAR($B50),1,1)&lt;DATE(2030,1,1),Junior_Annual_Salary*(1+Raise_Pct_Jan2027)*(1+Raise_Pct_Jan2028)*(1+Raise_Pct_Jan2029),Junior_Annual_Salary*(1+Raise_Pct_Jan2027)*(1+Raise_Pct_Jan2028)*(1+Raise_Pct_Jan2029)*(1+Raise_Pct_Jan2030)))))/12),0)</f>
        <v>0</v>
      </c>
      <c r="E50" s="24">
        <f>IF(AND(MONTH($B50)=1,YEAR($B50)&gt;=2027),IF(DATE(YEAR($B50),1,1)&lt;DATE(2027,1,1),Junior_Annual_Salary,IF(DATE(YEAR($B50),1,1)&lt;DATE(2028,1,1),Junior_Annual_Salary*(1+Raise_Pct_Jan2027),IF(DATE(YEAR($B50),1,1)&lt;DATE(2029,1,1),Junior_Annual_Salary*(1+Raise_Pct_Jan2027)*(1+Raise_Pct_Jan2028),IF(DATE(YEAR($B50),1,1)&lt;DATE(2030,1,1),Junior_Annual_Salary*(1+Raise_Pct_Jan2027)*(1+Raise_Pct_Jan2028)*(1+Raise_Pct_Jan2029),Junior_Annual_Salary*(1+Raise_Pct_Jan2027)*(1+Raise_Pct_Jan2028)*(1+Raise_Pct_Jan2029)*(1+Raise_Pct_Jan2030)))))*Retention_Pct,0)</f>
        <v>0</v>
      </c>
      <c r="F50" s="24">
        <f t="shared" si="1"/>
        <v>0</v>
      </c>
      <c r="G50" s="24">
        <f t="shared" si="2"/>
        <v>3575.0721066666683</v>
      </c>
      <c r="H50" s="11">
        <f>(1-Tax_Pct)*G50</f>
        <v>2627.6779984000013</v>
      </c>
    </row>
    <row r="51" spans="1:8" x14ac:dyDescent="0.3">
      <c r="A51" s="21" t="s">
        <v>40</v>
      </c>
      <c r="B51" s="22">
        <f>EDATE($B$2,49)</f>
        <v>47727</v>
      </c>
      <c r="C51" s="6">
        <f t="shared" si="3"/>
        <v>3575.0721066666683</v>
      </c>
      <c r="D51" s="24">
        <f>IF(MONTH($B51)=1,(Bonus_Months/2)*(IF(DATE(YEAR($B51)-1,7,1)&lt;DATE(2027,1,1),Junior_Annual_Salary,IF(DATE(YEAR($B51)-1,7,1)&lt;DATE(2028,1,1),Junior_Annual_Salary*(1+Raise_Pct_Jan2027),IF(DATE(YEAR($B51)-1,7,1)&lt;DATE(2029,1,1),Junior_Annual_Salary*(1+Raise_Pct_Jan2027)*(1+Raise_Pct_Jan2028),IF(DATE(YEAR($B51)-1,7,1)&lt;DATE(2030,1,1),Junior_Annual_Salary*(1+Raise_Pct_Jan2027)*(1+Raise_Pct_Jan2028)*(1+Raise_Pct_Jan2029),Junior_Annual_Salary*(1+Raise_Pct_Jan2027)*(1+Raise_Pct_Jan2028)*(1+Raise_Pct_Jan2029)*(1+Raise_Pct_Jan2030)))))/12)*IF(YEAR($B51)=2027,5/6,1),0)+IF(MONTH($B51)=7,(Bonus_Months/2)*(IF(DATE(YEAR($B51),1,1)&lt;DATE(2027,1,1),Junior_Annual_Salary,IF(DATE(YEAR($B51),1,1)&lt;DATE(2028,1,1),Junior_Annual_Salary*(1+Raise_Pct_Jan2027),IF(DATE(YEAR($B51),1,1)&lt;DATE(2029,1,1),Junior_Annual_Salary*(1+Raise_Pct_Jan2027)*(1+Raise_Pct_Jan2028),IF(DATE(YEAR($B51),1,1)&lt;DATE(2030,1,1),Junior_Annual_Salary*(1+Raise_Pct_Jan2027)*(1+Raise_Pct_Jan2028)*(1+Raise_Pct_Jan2029),Junior_Annual_Salary*(1+Raise_Pct_Jan2027)*(1+Raise_Pct_Jan2028)*(1+Raise_Pct_Jan2029)*(1+Raise_Pct_Jan2030)))))/12),0)</f>
        <v>0</v>
      </c>
      <c r="E51" s="24">
        <f>IF(AND(MONTH($B51)=1,YEAR($B51)&gt;=2027),IF(DATE(YEAR($B51),1,1)&lt;DATE(2027,1,1),Junior_Annual_Salary,IF(DATE(YEAR($B51),1,1)&lt;DATE(2028,1,1),Junior_Annual_Salary*(1+Raise_Pct_Jan2027),IF(DATE(YEAR($B51),1,1)&lt;DATE(2029,1,1),Junior_Annual_Salary*(1+Raise_Pct_Jan2027)*(1+Raise_Pct_Jan2028),IF(DATE(YEAR($B51),1,1)&lt;DATE(2030,1,1),Junior_Annual_Salary*(1+Raise_Pct_Jan2027)*(1+Raise_Pct_Jan2028)*(1+Raise_Pct_Jan2029),Junior_Annual_Salary*(1+Raise_Pct_Jan2027)*(1+Raise_Pct_Jan2028)*(1+Raise_Pct_Jan2029)*(1+Raise_Pct_Jan2030)))))*Retention_Pct,0)</f>
        <v>0</v>
      </c>
      <c r="F51" s="24">
        <f t="shared" si="1"/>
        <v>0</v>
      </c>
      <c r="G51" s="24">
        <f t="shared" si="2"/>
        <v>3575.0721066666683</v>
      </c>
      <c r="H51" s="11">
        <f>(1-Tax_Pct)*G51</f>
        <v>2627.6779984000013</v>
      </c>
    </row>
    <row r="52" spans="1:8" x14ac:dyDescent="0.3">
      <c r="A52" s="21" t="s">
        <v>40</v>
      </c>
      <c r="B52" s="22">
        <f>EDATE($B$2,50)</f>
        <v>47757</v>
      </c>
      <c r="C52" s="6">
        <f t="shared" si="3"/>
        <v>3575.0721066666683</v>
      </c>
      <c r="D52" s="24">
        <f>IF(MONTH($B52)=1,(Bonus_Months/2)*(IF(DATE(YEAR($B52)-1,7,1)&lt;DATE(2027,1,1),Junior_Annual_Salary,IF(DATE(YEAR($B52)-1,7,1)&lt;DATE(2028,1,1),Junior_Annual_Salary*(1+Raise_Pct_Jan2027),IF(DATE(YEAR($B52)-1,7,1)&lt;DATE(2029,1,1),Junior_Annual_Salary*(1+Raise_Pct_Jan2027)*(1+Raise_Pct_Jan2028),IF(DATE(YEAR($B52)-1,7,1)&lt;DATE(2030,1,1),Junior_Annual_Salary*(1+Raise_Pct_Jan2027)*(1+Raise_Pct_Jan2028)*(1+Raise_Pct_Jan2029),Junior_Annual_Salary*(1+Raise_Pct_Jan2027)*(1+Raise_Pct_Jan2028)*(1+Raise_Pct_Jan2029)*(1+Raise_Pct_Jan2030)))))/12)*IF(YEAR($B52)=2027,5/6,1),0)+IF(MONTH($B52)=7,(Bonus_Months/2)*(IF(DATE(YEAR($B52),1,1)&lt;DATE(2027,1,1),Junior_Annual_Salary,IF(DATE(YEAR($B52),1,1)&lt;DATE(2028,1,1),Junior_Annual_Salary*(1+Raise_Pct_Jan2027),IF(DATE(YEAR($B52),1,1)&lt;DATE(2029,1,1),Junior_Annual_Salary*(1+Raise_Pct_Jan2027)*(1+Raise_Pct_Jan2028),IF(DATE(YEAR($B52),1,1)&lt;DATE(2030,1,1),Junior_Annual_Salary*(1+Raise_Pct_Jan2027)*(1+Raise_Pct_Jan2028)*(1+Raise_Pct_Jan2029),Junior_Annual_Salary*(1+Raise_Pct_Jan2027)*(1+Raise_Pct_Jan2028)*(1+Raise_Pct_Jan2029)*(1+Raise_Pct_Jan2030)))))/12),0)</f>
        <v>0</v>
      </c>
      <c r="E52" s="24">
        <f>IF(AND(MONTH($B52)=1,YEAR($B52)&gt;=2027),IF(DATE(YEAR($B52),1,1)&lt;DATE(2027,1,1),Junior_Annual_Salary,IF(DATE(YEAR($B52),1,1)&lt;DATE(2028,1,1),Junior_Annual_Salary*(1+Raise_Pct_Jan2027),IF(DATE(YEAR($B52),1,1)&lt;DATE(2029,1,1),Junior_Annual_Salary*(1+Raise_Pct_Jan2027)*(1+Raise_Pct_Jan2028),IF(DATE(YEAR($B52),1,1)&lt;DATE(2030,1,1),Junior_Annual_Salary*(1+Raise_Pct_Jan2027)*(1+Raise_Pct_Jan2028)*(1+Raise_Pct_Jan2029),Junior_Annual_Salary*(1+Raise_Pct_Jan2027)*(1+Raise_Pct_Jan2028)*(1+Raise_Pct_Jan2029)*(1+Raise_Pct_Jan2030)))))*Retention_Pct,0)</f>
        <v>0</v>
      </c>
      <c r="F52" s="24">
        <f t="shared" si="1"/>
        <v>0</v>
      </c>
      <c r="G52" s="24">
        <f t="shared" si="2"/>
        <v>3575.0721066666683</v>
      </c>
      <c r="H52" s="11">
        <f>(1-Tax_Pct)*G52</f>
        <v>2627.6779984000013</v>
      </c>
    </row>
    <row r="53" spans="1:8" x14ac:dyDescent="0.3">
      <c r="A53" s="21" t="s">
        <v>40</v>
      </c>
      <c r="B53" s="22">
        <f>EDATE($B$2,51)</f>
        <v>47788</v>
      </c>
      <c r="C53" s="6">
        <f t="shared" si="3"/>
        <v>3575.0721066666683</v>
      </c>
      <c r="D53" s="24">
        <f>IF(MONTH($B53)=1,(Bonus_Months/2)*(IF(DATE(YEAR($B53)-1,7,1)&lt;DATE(2027,1,1),Junior_Annual_Salary,IF(DATE(YEAR($B53)-1,7,1)&lt;DATE(2028,1,1),Junior_Annual_Salary*(1+Raise_Pct_Jan2027),IF(DATE(YEAR($B53)-1,7,1)&lt;DATE(2029,1,1),Junior_Annual_Salary*(1+Raise_Pct_Jan2027)*(1+Raise_Pct_Jan2028),IF(DATE(YEAR($B53)-1,7,1)&lt;DATE(2030,1,1),Junior_Annual_Salary*(1+Raise_Pct_Jan2027)*(1+Raise_Pct_Jan2028)*(1+Raise_Pct_Jan2029),Junior_Annual_Salary*(1+Raise_Pct_Jan2027)*(1+Raise_Pct_Jan2028)*(1+Raise_Pct_Jan2029)*(1+Raise_Pct_Jan2030)))))/12)*IF(YEAR($B53)=2027,5/6,1),0)+IF(MONTH($B53)=7,(Bonus_Months/2)*(IF(DATE(YEAR($B53),1,1)&lt;DATE(2027,1,1),Junior_Annual_Salary,IF(DATE(YEAR($B53),1,1)&lt;DATE(2028,1,1),Junior_Annual_Salary*(1+Raise_Pct_Jan2027),IF(DATE(YEAR($B53),1,1)&lt;DATE(2029,1,1),Junior_Annual_Salary*(1+Raise_Pct_Jan2027)*(1+Raise_Pct_Jan2028),IF(DATE(YEAR($B53),1,1)&lt;DATE(2030,1,1),Junior_Annual_Salary*(1+Raise_Pct_Jan2027)*(1+Raise_Pct_Jan2028)*(1+Raise_Pct_Jan2029),Junior_Annual_Salary*(1+Raise_Pct_Jan2027)*(1+Raise_Pct_Jan2028)*(1+Raise_Pct_Jan2029)*(1+Raise_Pct_Jan2030)))))/12),0)</f>
        <v>0</v>
      </c>
      <c r="E53" s="24">
        <f>IF(AND(MONTH($B53)=1,YEAR($B53)&gt;=2027),IF(DATE(YEAR($B53),1,1)&lt;DATE(2027,1,1),Junior_Annual_Salary,IF(DATE(YEAR($B53),1,1)&lt;DATE(2028,1,1),Junior_Annual_Salary*(1+Raise_Pct_Jan2027),IF(DATE(YEAR($B53),1,1)&lt;DATE(2029,1,1),Junior_Annual_Salary*(1+Raise_Pct_Jan2027)*(1+Raise_Pct_Jan2028),IF(DATE(YEAR($B53),1,1)&lt;DATE(2030,1,1),Junior_Annual_Salary*(1+Raise_Pct_Jan2027)*(1+Raise_Pct_Jan2028)*(1+Raise_Pct_Jan2029),Junior_Annual_Salary*(1+Raise_Pct_Jan2027)*(1+Raise_Pct_Jan2028)*(1+Raise_Pct_Jan2029)*(1+Raise_Pct_Jan2030)))))*Retention_Pct,0)</f>
        <v>0</v>
      </c>
      <c r="F53" s="24">
        <f t="shared" si="1"/>
        <v>0</v>
      </c>
      <c r="G53" s="24">
        <f t="shared" si="2"/>
        <v>3575.0721066666683</v>
      </c>
      <c r="H53" s="11">
        <f>(1-Tax_Pct)*G53</f>
        <v>2627.6779984000013</v>
      </c>
    </row>
    <row r="54" spans="1:8" ht="15" customHeight="1" thickBot="1" x14ac:dyDescent="0.35">
      <c r="A54" s="28" t="s">
        <v>40</v>
      </c>
      <c r="B54" s="26">
        <f>EDATE($B$2,52)</f>
        <v>47818</v>
      </c>
      <c r="C54" s="6">
        <f t="shared" si="3"/>
        <v>3575.0721066666683</v>
      </c>
      <c r="D54" s="27">
        <f>IF(MONTH($B54)=1,(Bonus_Months/2)*(IF(DATE(YEAR($B54)-1,7,1)&lt;DATE(2027,1,1),Junior_Annual_Salary,IF(DATE(YEAR($B54)-1,7,1)&lt;DATE(2028,1,1),Junior_Annual_Salary*(1+Raise_Pct_Jan2027),IF(DATE(YEAR($B54)-1,7,1)&lt;DATE(2029,1,1),Junior_Annual_Salary*(1+Raise_Pct_Jan2027)*(1+Raise_Pct_Jan2028),IF(DATE(YEAR($B54)-1,7,1)&lt;DATE(2030,1,1),Junior_Annual_Salary*(1+Raise_Pct_Jan2027)*(1+Raise_Pct_Jan2028)*(1+Raise_Pct_Jan2029),Junior_Annual_Salary*(1+Raise_Pct_Jan2027)*(1+Raise_Pct_Jan2028)*(1+Raise_Pct_Jan2029)*(1+Raise_Pct_Jan2030)))))/12)*IF(YEAR($B54)=2027,5/6,1),0)+IF(MONTH($B54)=7,(Bonus_Months/2)*(IF(DATE(YEAR($B54),1,1)&lt;DATE(2027,1,1),Junior_Annual_Salary,IF(DATE(YEAR($B54),1,1)&lt;DATE(2028,1,1),Junior_Annual_Salary*(1+Raise_Pct_Jan2027),IF(DATE(YEAR($B54),1,1)&lt;DATE(2029,1,1),Junior_Annual_Salary*(1+Raise_Pct_Jan2027)*(1+Raise_Pct_Jan2028),IF(DATE(YEAR($B54),1,1)&lt;DATE(2030,1,1),Junior_Annual_Salary*(1+Raise_Pct_Jan2027)*(1+Raise_Pct_Jan2028)*(1+Raise_Pct_Jan2029),Junior_Annual_Salary*(1+Raise_Pct_Jan2027)*(1+Raise_Pct_Jan2028)*(1+Raise_Pct_Jan2029)*(1+Raise_Pct_Jan2030)))))/12),0)</f>
        <v>0</v>
      </c>
      <c r="E54" s="27">
        <f>IF(AND(MONTH($B54)=1,YEAR($B54)&gt;=2027),IF(DATE(YEAR($B54),1,1)&lt;DATE(2027,1,1),Junior_Annual_Salary,IF(DATE(YEAR($B54),1,1)&lt;DATE(2028,1,1),Junior_Annual_Salary*(1+Raise_Pct_Jan2027),IF(DATE(YEAR($B54),1,1)&lt;DATE(2029,1,1),Junior_Annual_Salary*(1+Raise_Pct_Jan2027)*(1+Raise_Pct_Jan2028),IF(DATE(YEAR($B54),1,1)&lt;DATE(2030,1,1),Junior_Annual_Salary*(1+Raise_Pct_Jan2027)*(1+Raise_Pct_Jan2028)*(1+Raise_Pct_Jan2029),Junior_Annual_Salary*(1+Raise_Pct_Jan2027)*(1+Raise_Pct_Jan2028)*(1+Raise_Pct_Jan2029)*(1+Raise_Pct_Jan2030)))))*Retention_Pct,0)</f>
        <v>0</v>
      </c>
      <c r="F54" s="27">
        <f t="shared" si="1"/>
        <v>0</v>
      </c>
      <c r="G54" s="27">
        <f t="shared" si="2"/>
        <v>3575.0721066666683</v>
      </c>
      <c r="H54" s="11">
        <f>(1-Tax_Pct)*G54</f>
        <v>2627.6779984000013</v>
      </c>
    </row>
    <row r="55" spans="1:8" ht="15" customHeight="1" thickTop="1" x14ac:dyDescent="0.3"/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17</vt:i4>
      </vt:variant>
    </vt:vector>
  </HeadingPairs>
  <TitlesOfParts>
    <vt:vector size="19" baseType="lpstr">
      <vt:lpstr>Inputs</vt:lpstr>
      <vt:lpstr>Monthly Schedule</vt:lpstr>
      <vt:lpstr>Annual_Salary</vt:lpstr>
      <vt:lpstr>Bonus_Months</vt:lpstr>
      <vt:lpstr>Junior_Annual_Salary</vt:lpstr>
      <vt:lpstr>Promotion_Pct_Jan2030</vt:lpstr>
      <vt:lpstr>Raise_Pct_Jan2027</vt:lpstr>
      <vt:lpstr>Raise_Pct_Jan2028</vt:lpstr>
      <vt:lpstr>Raise_Pct_Jan2029</vt:lpstr>
      <vt:lpstr>Raise_Pct_Jan2030</vt:lpstr>
      <vt:lpstr>Retention_Pct_Senior_2027</vt:lpstr>
      <vt:lpstr>Retention_Pct_Senior_2028</vt:lpstr>
      <vt:lpstr>Retention_Pct_Senior_2029</vt:lpstr>
      <vt:lpstr>Retention_Pct_Staff_2030</vt:lpstr>
      <vt:lpstr>Senior_Bonus_Months</vt:lpstr>
      <vt:lpstr>SignOn_Bonus</vt:lpstr>
      <vt:lpstr>Staff_Bonus_Months</vt:lpstr>
      <vt:lpstr>Tax_Pct</vt:lpstr>
      <vt:lpstr>USD_to_EGP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Fahmy, Omar</dc:creator>
  <cp:keywords/>
  <dc:description/>
  <cp:lastModifiedBy>Fahmy, Omar</cp:lastModifiedBy>
  <cp:revision/>
  <dcterms:created xsi:type="dcterms:W3CDTF">2026-05-07T21:18:22Z</dcterms:created>
  <dcterms:modified xsi:type="dcterms:W3CDTF">2026-05-10T18:41:08Z</dcterms:modified>
  <cp:category/>
  <cp:contentStatus/>
</cp:coreProperties>
</file>