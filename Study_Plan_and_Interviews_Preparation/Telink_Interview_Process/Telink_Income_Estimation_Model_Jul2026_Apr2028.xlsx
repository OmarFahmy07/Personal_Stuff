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alog-my.sharepoint.com/personal/omar_fahmy_analog_com/Documents/Personal Stuff/Study_Plan_and_Interviews_Preparation/Telink_Interview_Process/"/>
    </mc:Choice>
  </mc:AlternateContent>
  <xr:revisionPtr revIDLastSave="49" documentId="8_{728AFA38-D3EB-4BF3-BE1D-DE0E51E25644}" xr6:coauthVersionLast="47" xr6:coauthVersionMax="47" xr10:uidLastSave="{A571EB55-F442-43FB-828D-956F1D963520}"/>
  <bookViews>
    <workbookView xWindow="-108" yWindow="-108" windowWidth="23256" windowHeight="13896" activeTab="1" xr2:uid="{00000000-000D-0000-FFFF-FFFF00000000}"/>
  </bookViews>
  <sheets>
    <sheet name="Inputs" sheetId="1" r:id="rId1"/>
    <sheet name="Monthly Schedule" sheetId="2" r:id="rId2"/>
  </sheets>
  <definedNames>
    <definedName name="Join_Date">Inputs!$B$4</definedName>
    <definedName name="Junior_Annual_Salary">Inputs!$B$8</definedName>
    <definedName name="Junior_Bonus_Months">Inputs!$B$13</definedName>
    <definedName name="Promotion_Pct_Jan2027">Inputs!$B$9</definedName>
    <definedName name="Raise_Pct_Jan2027">Inputs!$B$10</definedName>
    <definedName name="Raise_Pct_Jan2028">Inputs!$B$11</definedName>
    <definedName name="Retention_Pct">Inputs!$B$16</definedName>
    <definedName name="Schedule_End_Month">Inputs!$B$6</definedName>
    <definedName name="Schedule_Start_Month">Inputs!$B$5</definedName>
    <definedName name="Senior_Bonus_Months">Inputs!$B$14</definedName>
    <definedName name="SignOn_Bonus">Inputs!$B$18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F2" i="2"/>
  <c r="E2" i="2"/>
  <c r="D2" i="2"/>
  <c r="C2" i="2"/>
  <c r="G2" i="2" l="1"/>
  <c r="F3" i="2"/>
  <c r="E3" i="2"/>
  <c r="D3" i="2"/>
  <c r="C3" i="2"/>
  <c r="F4" i="2"/>
  <c r="E4" i="2"/>
  <c r="D4" i="2"/>
  <c r="C4" i="2"/>
  <c r="F5" i="2"/>
  <c r="E5" i="2"/>
  <c r="D5" i="2"/>
  <c r="C5" i="2"/>
  <c r="F6" i="2"/>
  <c r="E6" i="2"/>
  <c r="D6" i="2"/>
  <c r="C6" i="2"/>
  <c r="F7" i="2"/>
  <c r="E7" i="2"/>
  <c r="D7" i="2"/>
  <c r="C7" i="2"/>
  <c r="F8" i="2"/>
  <c r="E8" i="2"/>
  <c r="D8" i="2"/>
  <c r="C8" i="2"/>
  <c r="F9" i="2"/>
  <c r="E9" i="2"/>
  <c r="D9" i="2"/>
  <c r="C9" i="2"/>
  <c r="F10" i="2"/>
  <c r="E10" i="2"/>
  <c r="D10" i="2"/>
  <c r="C10" i="2"/>
  <c r="F11" i="2"/>
  <c r="E11" i="2"/>
  <c r="D11" i="2"/>
  <c r="C11" i="2"/>
  <c r="F12" i="2"/>
  <c r="E12" i="2"/>
  <c r="D12" i="2"/>
  <c r="C12" i="2"/>
  <c r="G12" i="2" s="1"/>
  <c r="F13" i="2"/>
  <c r="E13" i="2"/>
  <c r="D13" i="2"/>
  <c r="C13" i="2"/>
  <c r="F14" i="2"/>
  <c r="E14" i="2"/>
  <c r="D14" i="2"/>
  <c r="C14" i="2"/>
  <c r="F15" i="2"/>
  <c r="E15" i="2"/>
  <c r="D15" i="2"/>
  <c r="C15" i="2"/>
  <c r="G15" i="2" s="1"/>
  <c r="F16" i="2"/>
  <c r="E16" i="2"/>
  <c r="D16" i="2"/>
  <c r="C16" i="2"/>
  <c r="F17" i="2"/>
  <c r="E17" i="2"/>
  <c r="D17" i="2"/>
  <c r="C17" i="2"/>
  <c r="F18" i="2"/>
  <c r="E18" i="2"/>
  <c r="D18" i="2"/>
  <c r="C18" i="2"/>
  <c r="F19" i="2"/>
  <c r="E19" i="2"/>
  <c r="D19" i="2"/>
  <c r="C19" i="2"/>
  <c r="F20" i="2"/>
  <c r="E20" i="2"/>
  <c r="D20" i="2"/>
  <c r="C20" i="2"/>
  <c r="F21" i="2"/>
  <c r="E21" i="2"/>
  <c r="D21" i="2"/>
  <c r="C21" i="2"/>
  <c r="F22" i="2"/>
  <c r="E22" i="2"/>
  <c r="D22" i="2"/>
  <c r="C22" i="2"/>
  <c r="G22" i="2" s="1"/>
  <c r="F23" i="2"/>
  <c r="E23" i="2"/>
  <c r="D23" i="2"/>
  <c r="C23" i="2"/>
  <c r="G5" i="2" l="1"/>
  <c r="G8" i="2"/>
  <c r="G23" i="2"/>
  <c r="G7" i="2"/>
  <c r="G18" i="2"/>
  <c r="G11" i="2"/>
  <c r="G21" i="2"/>
  <c r="G16" i="2"/>
  <c r="G4" i="2"/>
  <c r="G9" i="2"/>
  <c r="G17" i="2"/>
  <c r="G10" i="2"/>
  <c r="G3" i="2"/>
  <c r="G14" i="2"/>
  <c r="G6" i="2"/>
  <c r="G19" i="2"/>
  <c r="G20" i="2"/>
  <c r="G13" i="2"/>
  <c r="I3" i="2" l="1"/>
  <c r="I21" i="2"/>
  <c r="I9" i="2"/>
</calcChain>
</file>

<file path=xl/sharedStrings.xml><?xml version="1.0" encoding="utf-8"?>
<sst xmlns="http://schemas.openxmlformats.org/spreadsheetml/2006/main" count="37" uniqueCount="36">
  <si>
    <t>Telink Income Model — Inputs (editable assumptions)</t>
  </si>
  <si>
    <t>Timeline</t>
  </si>
  <si>
    <t>Join_Date</t>
  </si>
  <si>
    <t>Schedule_Start_Month</t>
  </si>
  <si>
    <t>Schedule_End_Month</t>
  </si>
  <si>
    <t>Base Salary</t>
  </si>
  <si>
    <t>Junior_Annual_Salary</t>
  </si>
  <si>
    <t>Promotion_Pct_Jan2027</t>
  </si>
  <si>
    <t>Raise_Pct_Jan2027</t>
  </si>
  <si>
    <t>Raise_Pct_Jan2028</t>
  </si>
  <si>
    <t>Bonus (months of salary per YEAR; split across 2 payouts)</t>
  </si>
  <si>
    <t>Junior_Bonus_Months</t>
  </si>
  <si>
    <t>Senior_Bonus_Months</t>
  </si>
  <si>
    <t>Retention</t>
  </si>
  <si>
    <t>Retention_Pct</t>
  </si>
  <si>
    <t>Sign-on Bonus</t>
  </si>
  <si>
    <t>SignOn_Bonus</t>
  </si>
  <si>
    <t>Notes / How the model works</t>
  </si>
  <si>
    <t>Month</t>
  </si>
  <si>
    <t>Bonus Paid</t>
  </si>
  <si>
    <t>Retention Paid</t>
  </si>
  <si>
    <t>Sign-on Bonus Paid</t>
  </si>
  <si>
    <t>Total Monthly Income</t>
  </si>
  <si>
    <t>Total Income in 2026</t>
  </si>
  <si>
    <t>Total Income in 2027</t>
  </si>
  <si>
    <t>Total Income in 2028</t>
  </si>
  <si>
    <t>Bonus months are defined per year and split equally across the 2 payouts. So each payout uses (Bonus_Months/2) × Monthly_Base_Salary_of_relevant_half-year.</t>
  </si>
  <si>
    <t xml:space="preserve">  – February payout uses base salary of Jul–Dec of previous year.</t>
  </si>
  <si>
    <t xml:space="preserve">  – July payout uses base salary of Jan–Jun of the same year.</t>
  </si>
  <si>
    <t>Junior level applies from Jul–Dec 2026. Senior level applies from Jan 2027 onward.</t>
  </si>
  <si>
    <t>Base salary: Jul–Dec 2026 uses Junior_Annual_Salary/12. Jan–Dec 2027 applies (Promotion_Pct_Jan2027 + Raise_Pct_Jan2027).</t>
  </si>
  <si>
    <t>Retention is paid annually in January starting Jan 2027: Annual_Base_Salary × Retention_Pct.</t>
  </si>
  <si>
    <t>Sign-on is paid once in Jul 2026.</t>
  </si>
  <si>
    <t>Level</t>
  </si>
  <si>
    <t>Junior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</si>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</sst>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-"/>
    <numFmt numFmtId="165" formatCode="mmm\ d\,\ yyyy"/>
    <numFmt numFmtId="166" formatCode="mmm\ yyyy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/>
    <xf numFmtId="165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2" fontId="0" fillId="0" borderId="1" xfId="0" applyNumberFormat="1" applyBorder="1"/>
    <xf numFmtId="0" fontId="4" fillId="4" borderId="1" xfId="0" applyFont="1" applyFill="1" applyBorder="1" applyAlignment="1">
      <alignment horizontal="center"/>
    </xf>
    <xf numFmtId="166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2" fillId="2" borderId="0" xfId="0" applyFont="1" applyFill="1" applyAlignment="1">
      <alignment horizontal="left"/>
    </xf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3" xfId="0" applyFont="1" applyBorder="1" applyAlignment="1">
      <alignment horizontal="center" vertical="center" textRotation="45"/>
    </xf>
    <xf numFmtId="0" fontId="5" fillId="0" borderId="2" xfId="0" applyFont="1" applyBorder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Monthly Income (Jul 2026 – Apr 2028)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Schedule'!$G$1</c:f>
              <c:strCache>
                <c:ptCount val="1"/>
                <c:pt idx="0">
                  <c:v>Total Monthly 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'Monthly Schedule'!$B$2:$B$23</c:f>
              <c:numCache>
                <c:formatCode>mmm\ yyyy</c:formatCode>
                <c:ptCount val="22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</c:numCache>
            </c:numRef>
          </c:cat>
          <c:val>
            <c:numRef>
              <c:f>'Monthly Schedule'!$G$2:$G$23</c:f>
              <c:numCache>
                <c:formatCode>"$"#,##0.00_-</c:formatCode>
                <c:ptCount val="22"/>
                <c:pt idx="0">
                  <c:v>2400</c:v>
                </c:pt>
                <c:pt idx="1">
                  <c:v>2400</c:v>
                </c:pt>
                <c:pt idx="2">
                  <c:v>2400</c:v>
                </c:pt>
                <c:pt idx="3">
                  <c:v>2400</c:v>
                </c:pt>
                <c:pt idx="4">
                  <c:v>2400</c:v>
                </c:pt>
                <c:pt idx="5">
                  <c:v>2400</c:v>
                </c:pt>
                <c:pt idx="6">
                  <c:v>5913.6</c:v>
                </c:pt>
                <c:pt idx="7">
                  <c:v>4968</c:v>
                </c:pt>
                <c:pt idx="8">
                  <c:v>2688.0000000000005</c:v>
                </c:pt>
                <c:pt idx="9">
                  <c:v>2688.0000000000005</c:v>
                </c:pt>
                <c:pt idx="10">
                  <c:v>2688.0000000000005</c:v>
                </c:pt>
                <c:pt idx="11">
                  <c:v>2688.0000000000005</c:v>
                </c:pt>
                <c:pt idx="12">
                  <c:v>6518.4000000000015</c:v>
                </c:pt>
                <c:pt idx="13">
                  <c:v>2688.0000000000005</c:v>
                </c:pt>
                <c:pt idx="14">
                  <c:v>2688.0000000000005</c:v>
                </c:pt>
                <c:pt idx="15">
                  <c:v>2688.0000000000005</c:v>
                </c:pt>
                <c:pt idx="16">
                  <c:v>2688.0000000000005</c:v>
                </c:pt>
                <c:pt idx="17">
                  <c:v>2688.0000000000005</c:v>
                </c:pt>
                <c:pt idx="18">
                  <c:v>6327.5520000000015</c:v>
                </c:pt>
                <c:pt idx="19">
                  <c:v>6706.5600000000013</c:v>
                </c:pt>
                <c:pt idx="20">
                  <c:v>2876.1600000000003</c:v>
                </c:pt>
                <c:pt idx="21">
                  <c:v>2876.1600000000003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53-41FC-817C-634EFEF13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Currency</a:t>
                </a:r>
              </a:p>
            </c:rich>
          </c:tx>
          <c:overlay val="1"/>
        </c:title>
        <c:numFmt formatCode="&quot;$&quot;#,##0.00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A28" sqref="A28:C28"/>
    </sheetView>
  </sheetViews>
  <sheetFormatPr defaultRowHeight="14.4" x14ac:dyDescent="0.3"/>
  <cols>
    <col min="1" max="1" width="59.33203125" bestFit="1" customWidth="1"/>
    <col min="2" max="2" width="20" customWidth="1"/>
    <col min="3" max="3" width="70" customWidth="1"/>
  </cols>
  <sheetData>
    <row r="1" spans="1:3" ht="18" x14ac:dyDescent="0.35">
      <c r="A1" s="1" t="s">
        <v>0</v>
      </c>
    </row>
    <row r="3" spans="1:3" ht="15.6" x14ac:dyDescent="0.3">
      <c r="A3" s="10" t="s">
        <v>1</v>
      </c>
      <c r="B3" s="11"/>
      <c r="C3" s="11"/>
    </row>
    <row r="4" spans="1:3" x14ac:dyDescent="0.3">
      <c r="A4" s="2" t="s">
        <v>2</v>
      </c>
      <c r="B4" s="3">
        <v>46204</v>
      </c>
    </row>
    <row r="5" spans="1:3" x14ac:dyDescent="0.3">
      <c r="A5" s="2" t="s">
        <v>3</v>
      </c>
      <c r="B5" s="3">
        <v>46204</v>
      </c>
    </row>
    <row r="6" spans="1:3" x14ac:dyDescent="0.3">
      <c r="A6" s="2" t="s">
        <v>4</v>
      </c>
      <c r="B6" s="3">
        <v>46844</v>
      </c>
    </row>
    <row r="7" spans="1:3" ht="15.6" x14ac:dyDescent="0.3">
      <c r="A7" s="10" t="s">
        <v>5</v>
      </c>
      <c r="B7" s="11"/>
      <c r="C7" s="11"/>
    </row>
    <row r="8" spans="1:3" x14ac:dyDescent="0.3">
      <c r="A8" s="2" t="s">
        <v>6</v>
      </c>
      <c r="B8" s="4">
        <v>28800</v>
      </c>
    </row>
    <row r="9" spans="1:3" x14ac:dyDescent="0.3">
      <c r="A9" s="2" t="s">
        <v>7</v>
      </c>
      <c r="B9" s="5">
        <v>0.05</v>
      </c>
    </row>
    <row r="10" spans="1:3" x14ac:dyDescent="0.3">
      <c r="A10" s="2" t="s">
        <v>8</v>
      </c>
      <c r="B10" s="5">
        <v>7.0000000000000007E-2</v>
      </c>
    </row>
    <row r="11" spans="1:3" x14ac:dyDescent="0.3">
      <c r="A11" s="2" t="s">
        <v>9</v>
      </c>
      <c r="B11" s="5">
        <v>7.0000000000000007E-2</v>
      </c>
    </row>
    <row r="12" spans="1:3" ht="15.6" x14ac:dyDescent="0.3">
      <c r="A12" s="10" t="s">
        <v>10</v>
      </c>
      <c r="B12" s="11"/>
      <c r="C12" s="11"/>
    </row>
    <row r="13" spans="1:3" x14ac:dyDescent="0.3">
      <c r="A13" s="2" t="s">
        <v>11</v>
      </c>
      <c r="B13" s="6">
        <v>1.9</v>
      </c>
    </row>
    <row r="14" spans="1:3" x14ac:dyDescent="0.3">
      <c r="A14" s="2" t="s">
        <v>12</v>
      </c>
      <c r="B14" s="6">
        <v>2.85</v>
      </c>
    </row>
    <row r="15" spans="1:3" ht="15.6" x14ac:dyDescent="0.3">
      <c r="A15" s="10" t="s">
        <v>13</v>
      </c>
      <c r="B15" s="11"/>
      <c r="C15" s="11"/>
    </row>
    <row r="16" spans="1:3" x14ac:dyDescent="0.3">
      <c r="A16" s="2" t="s">
        <v>14</v>
      </c>
      <c r="B16" s="5">
        <v>0.1</v>
      </c>
    </row>
    <row r="17" spans="1:3" ht="15.6" x14ac:dyDescent="0.3">
      <c r="A17" s="10" t="s">
        <v>15</v>
      </c>
      <c r="B17" s="11"/>
      <c r="C17" s="11"/>
    </row>
    <row r="18" spans="1:3" x14ac:dyDescent="0.3">
      <c r="A18" s="2" t="s">
        <v>16</v>
      </c>
      <c r="B18" s="4">
        <v>0</v>
      </c>
    </row>
    <row r="21" spans="1:3" ht="15.6" x14ac:dyDescent="0.3">
      <c r="A21" s="12" t="s">
        <v>17</v>
      </c>
      <c r="B21" s="11"/>
      <c r="C21" s="11"/>
    </row>
    <row r="22" spans="1:3" x14ac:dyDescent="0.3">
      <c r="A22" s="13" t="s">
        <v>29</v>
      </c>
      <c r="B22" s="11"/>
      <c r="C22" s="11"/>
    </row>
    <row r="23" spans="1:3" x14ac:dyDescent="0.3">
      <c r="A23" s="13" t="s">
        <v>30</v>
      </c>
      <c r="B23" s="11"/>
      <c r="C23" s="11"/>
    </row>
    <row r="24" spans="1:3" x14ac:dyDescent="0.3">
      <c r="A24" s="13" t="s">
        <v>26</v>
      </c>
      <c r="B24" s="11"/>
      <c r="C24" s="11"/>
    </row>
    <row r="25" spans="1:3" x14ac:dyDescent="0.3">
      <c r="A25" s="13" t="s">
        <v>27</v>
      </c>
      <c r="B25" s="11"/>
      <c r="C25" s="11"/>
    </row>
    <row r="26" spans="1:3" x14ac:dyDescent="0.3">
      <c r="A26" s="13" t="s">
        <v>28</v>
      </c>
      <c r="B26" s="11"/>
      <c r="C26" s="11"/>
    </row>
    <row r="27" spans="1:3" x14ac:dyDescent="0.3">
      <c r="A27" s="13" t="s">
        <v>31</v>
      </c>
      <c r="B27" s="11"/>
      <c r="C27" s="11"/>
    </row>
    <row r="28" spans="1:3" x14ac:dyDescent="0.3">
      <c r="A28" s="13" t="s">
        <v>32</v>
      </c>
      <c r="B28" s="11"/>
      <c r="C28" s="11"/>
    </row>
  </sheetData>
  <mergeCells count="13">
    <mergeCell ref="A28:C28"/>
    <mergeCell ref="A23:C23"/>
    <mergeCell ref="A22:C22"/>
    <mergeCell ref="A17:C17"/>
    <mergeCell ref="A27:C27"/>
    <mergeCell ref="A3:C3"/>
    <mergeCell ref="A21:C21"/>
    <mergeCell ref="A12:C12"/>
    <mergeCell ref="A7:C7"/>
    <mergeCell ref="A26:C26"/>
    <mergeCell ref="A24:C24"/>
    <mergeCell ref="A15:C15"/>
    <mergeCell ref="A25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4.4" x14ac:dyDescent="0.3"/>
  <cols>
    <col min="2" max="5" width="14" customWidth="1"/>
    <col min="6" max="7" width="18" customWidth="1"/>
    <col min="9" max="9" width="18.6640625" style="15" bestFit="1" customWidth="1"/>
  </cols>
  <sheetData>
    <row r="1" spans="1:9" x14ac:dyDescent="0.3">
      <c r="A1" s="7" t="s">
        <v>33</v>
      </c>
      <c r="B1" s="7" t="s">
        <v>18</v>
      </c>
      <c r="C1" s="7" t="s">
        <v>5</v>
      </c>
      <c r="D1" s="7" t="s">
        <v>19</v>
      </c>
      <c r="E1" s="7" t="s">
        <v>20</v>
      </c>
      <c r="F1" s="7" t="s">
        <v>21</v>
      </c>
      <c r="G1" s="7" t="s">
        <v>22</v>
      </c>
    </row>
    <row r="2" spans="1:9" x14ac:dyDescent="0.3">
      <c r="A2" s="18" t="s">
        <v>34</v>
      </c>
      <c r="B2" s="8">
        <v>46204</v>
      </c>
      <c r="C2" s="9">
        <f t="shared" ref="C2:C23" si="0">(IF($B2&lt;DATE(2027,1,1),Junior_Annual_Salary,IF($B2&lt;DATE(2028,1,1),Junior_Annual_Salary*(1+Promotion_Pct_Jan2027+Raise_Pct_Jan2027),(Junior_Annual_Salary*(1+Promotion_Pct_Jan2027+Raise_Pct_Jan2027))*(1+Raise_Pct_Jan2028))))/12</f>
        <v>2400</v>
      </c>
      <c r="D2" s="9">
        <f t="shared" ref="D2:D23" si="1">(IF(AND(MONTH($B2)=2,YEAR($B2)&gt;=2027),IF(YEAR($B2)=2027,Junior_Bonus_Months/2,Senior_Bonus_Months/2)*(IF(DATE(YEAR($B2)-1,7,1)&lt;DATE(2027,1,1),Junior_Annual_Salary,IF(DATE(YEAR($B2)-1,7,1)&lt;DATE(2028,1,1),Junior_Annual_Salary*(1+Promotion_Pct_Jan2027+Raise_Pct_Jan2027),(Junior_Annual_Salary*(1+Promotion_Pct_Jan2027+Raise_Pct_Jan2027))*(1+Raise_Pct_Jan2028))))/12,0))+(IF(AND(MONTH($B2)=7,YEAR($B2)&gt;=2027),(Senior_Bonus_Months/2)*(IF(DATE(YEAR($B2),1,1)&lt;DATE(2027,1,1),Junior_Annual_Salary,IF(DATE(YEAR($B2),1,1)&lt;DATE(2028,1,1),Junior_Annual_Salary*(1+Promotion_Pct_Jan2027+Raise_Pct_Jan2027),(Junior_Annual_Salary*(1+Promotion_Pct_Jan2027+Raise_Pct_Jan2027))*(1+Raise_Pct_Jan2028))))/12,0))</f>
        <v>0</v>
      </c>
      <c r="E2" s="9">
        <f t="shared" ref="E2:E23" si="2">IF(AND(MONTH($B2)=1,YEAR($B2)&gt;=2027),IF($B2&lt;DATE(2027,1,1),Junior_Annual_Salary,IF($B2&lt;DATE(2028,1,1),Junior_Annual_Salary*(1+Promotion_Pct_Jan2027+Raise_Pct_Jan2027),(Junior_Annual_Salary*(1+Promotion_Pct_Jan2027+Raise_Pct_Jan2027))*(1+Raise_Pct_Jan2028)))*Retention_Pct,0)</f>
        <v>0</v>
      </c>
      <c r="F2" s="9">
        <f t="shared" ref="F2:F23" si="3">IF($B2=DATE(2026,7,1),SignOn_Bonus,0)</f>
        <v>0</v>
      </c>
      <c r="G2" s="9">
        <f t="shared" ref="G2:G23" si="4">SUM(C2:F2)</f>
        <v>2400</v>
      </c>
      <c r="I2" s="14" t="s">
        <v>23</v>
      </c>
    </row>
    <row r="3" spans="1:9" x14ac:dyDescent="0.3">
      <c r="A3" s="17"/>
      <c r="B3" s="8">
        <f>EDATE($B$2,1)</f>
        <v>46235</v>
      </c>
      <c r="C3" s="9">
        <f t="shared" si="0"/>
        <v>2400</v>
      </c>
      <c r="D3" s="9">
        <f t="shared" si="1"/>
        <v>0</v>
      </c>
      <c r="E3" s="9">
        <f t="shared" si="2"/>
        <v>0</v>
      </c>
      <c r="F3" s="9">
        <f t="shared" si="3"/>
        <v>0</v>
      </c>
      <c r="G3" s="9">
        <f t="shared" si="4"/>
        <v>2400</v>
      </c>
      <c r="I3" s="16">
        <f>SUM(G2:G7)</f>
        <v>14400</v>
      </c>
    </row>
    <row r="4" spans="1:9" x14ac:dyDescent="0.3">
      <c r="A4" s="17"/>
      <c r="B4" s="8">
        <f>EDATE($B$2,2)</f>
        <v>46266</v>
      </c>
      <c r="C4" s="9">
        <f t="shared" si="0"/>
        <v>2400</v>
      </c>
      <c r="D4" s="9">
        <f t="shared" si="1"/>
        <v>0</v>
      </c>
      <c r="E4" s="9">
        <f t="shared" si="2"/>
        <v>0</v>
      </c>
      <c r="F4" s="9">
        <f t="shared" si="3"/>
        <v>0</v>
      </c>
      <c r="G4" s="9">
        <f t="shared" si="4"/>
        <v>2400</v>
      </c>
    </row>
    <row r="5" spans="1:9" x14ac:dyDescent="0.3">
      <c r="A5" s="17"/>
      <c r="B5" s="8">
        <f>EDATE($B$2,3)</f>
        <v>46296</v>
      </c>
      <c r="C5" s="9">
        <f t="shared" si="0"/>
        <v>2400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2400</v>
      </c>
    </row>
    <row r="6" spans="1:9" x14ac:dyDescent="0.3">
      <c r="A6" s="17"/>
      <c r="B6" s="8">
        <f>EDATE($B$2,4)</f>
        <v>46327</v>
      </c>
      <c r="C6" s="9">
        <f t="shared" si="0"/>
        <v>2400</v>
      </c>
      <c r="D6" s="9">
        <f t="shared" si="1"/>
        <v>0</v>
      </c>
      <c r="E6" s="9">
        <f t="shared" si="2"/>
        <v>0</v>
      </c>
      <c r="F6" s="9">
        <f t="shared" si="3"/>
        <v>0</v>
      </c>
      <c r="G6" s="9">
        <f t="shared" si="4"/>
        <v>2400</v>
      </c>
    </row>
    <row r="7" spans="1:9" x14ac:dyDescent="0.3">
      <c r="A7" s="17"/>
      <c r="B7" s="8">
        <f>EDATE($B$2,5)</f>
        <v>46357</v>
      </c>
      <c r="C7" s="9">
        <f t="shared" si="0"/>
        <v>2400</v>
      </c>
      <c r="D7" s="9">
        <f t="shared" si="1"/>
        <v>0</v>
      </c>
      <c r="E7" s="9">
        <f t="shared" si="2"/>
        <v>0</v>
      </c>
      <c r="F7" s="9">
        <f t="shared" si="3"/>
        <v>0</v>
      </c>
      <c r="G7" s="9">
        <f t="shared" si="4"/>
        <v>2400</v>
      </c>
    </row>
    <row r="8" spans="1:9" x14ac:dyDescent="0.3">
      <c r="A8" s="17" t="s">
        <v>35</v>
      </c>
      <c r="B8" s="8">
        <f>EDATE($B$2,6)</f>
        <v>46388</v>
      </c>
      <c r="C8" s="9">
        <f t="shared" si="0"/>
        <v>2688.0000000000005</v>
      </c>
      <c r="D8" s="9">
        <f t="shared" si="1"/>
        <v>0</v>
      </c>
      <c r="E8" s="9">
        <f t="shared" si="2"/>
        <v>3225.6000000000004</v>
      </c>
      <c r="F8" s="9">
        <f t="shared" si="3"/>
        <v>0</v>
      </c>
      <c r="G8" s="9">
        <f t="shared" si="4"/>
        <v>5913.6</v>
      </c>
      <c r="I8" s="14" t="s">
        <v>24</v>
      </c>
    </row>
    <row r="9" spans="1:9" x14ac:dyDescent="0.3">
      <c r="A9" s="17"/>
      <c r="B9" s="8">
        <f>EDATE($B$2,7)</f>
        <v>46419</v>
      </c>
      <c r="C9" s="9">
        <f t="shared" si="0"/>
        <v>2688.0000000000005</v>
      </c>
      <c r="D9" s="9">
        <f t="shared" si="1"/>
        <v>2280</v>
      </c>
      <c r="E9" s="9">
        <f t="shared" si="2"/>
        <v>0</v>
      </c>
      <c r="F9" s="9">
        <f t="shared" si="3"/>
        <v>0</v>
      </c>
      <c r="G9" s="9">
        <f t="shared" si="4"/>
        <v>4968</v>
      </c>
      <c r="I9" s="16">
        <f>SUM(G8:G19)</f>
        <v>41592.000000000007</v>
      </c>
    </row>
    <row r="10" spans="1:9" x14ac:dyDescent="0.3">
      <c r="A10" s="17"/>
      <c r="B10" s="8">
        <f>EDATE($B$2,8)</f>
        <v>46447</v>
      </c>
      <c r="C10" s="9">
        <f t="shared" si="0"/>
        <v>2688.0000000000005</v>
      </c>
      <c r="D10" s="9">
        <f t="shared" si="1"/>
        <v>0</v>
      </c>
      <c r="E10" s="9">
        <f t="shared" si="2"/>
        <v>0</v>
      </c>
      <c r="F10" s="9">
        <f t="shared" si="3"/>
        <v>0</v>
      </c>
      <c r="G10" s="9">
        <f t="shared" si="4"/>
        <v>2688.0000000000005</v>
      </c>
    </row>
    <row r="11" spans="1:9" x14ac:dyDescent="0.3">
      <c r="A11" s="17"/>
      <c r="B11" s="8">
        <f>EDATE($B$2,9)</f>
        <v>46478</v>
      </c>
      <c r="C11" s="9">
        <f t="shared" si="0"/>
        <v>2688.0000000000005</v>
      </c>
      <c r="D11" s="9">
        <f t="shared" si="1"/>
        <v>0</v>
      </c>
      <c r="E11" s="9">
        <f t="shared" si="2"/>
        <v>0</v>
      </c>
      <c r="F11" s="9">
        <f t="shared" si="3"/>
        <v>0</v>
      </c>
      <c r="G11" s="9">
        <f t="shared" si="4"/>
        <v>2688.0000000000005</v>
      </c>
    </row>
    <row r="12" spans="1:9" x14ac:dyDescent="0.3">
      <c r="A12" s="17"/>
      <c r="B12" s="8">
        <f>EDATE($B$2,10)</f>
        <v>46508</v>
      </c>
      <c r="C12" s="9">
        <f t="shared" si="0"/>
        <v>2688.0000000000005</v>
      </c>
      <c r="D12" s="9">
        <f t="shared" si="1"/>
        <v>0</v>
      </c>
      <c r="E12" s="9">
        <f t="shared" si="2"/>
        <v>0</v>
      </c>
      <c r="F12" s="9">
        <f t="shared" si="3"/>
        <v>0</v>
      </c>
      <c r="G12" s="9">
        <f t="shared" si="4"/>
        <v>2688.0000000000005</v>
      </c>
    </row>
    <row r="13" spans="1:9" x14ac:dyDescent="0.3">
      <c r="A13" s="17"/>
      <c r="B13" s="8">
        <f>EDATE($B$2,11)</f>
        <v>46539</v>
      </c>
      <c r="C13" s="9">
        <f t="shared" si="0"/>
        <v>2688.0000000000005</v>
      </c>
      <c r="D13" s="9">
        <f t="shared" si="1"/>
        <v>0</v>
      </c>
      <c r="E13" s="9">
        <f t="shared" si="2"/>
        <v>0</v>
      </c>
      <c r="F13" s="9">
        <f t="shared" si="3"/>
        <v>0</v>
      </c>
      <c r="G13" s="9">
        <f t="shared" si="4"/>
        <v>2688.0000000000005</v>
      </c>
    </row>
    <row r="14" spans="1:9" x14ac:dyDescent="0.3">
      <c r="A14" s="17"/>
      <c r="B14" s="8">
        <f>EDATE($B$2,12)</f>
        <v>46569</v>
      </c>
      <c r="C14" s="9">
        <f t="shared" si="0"/>
        <v>2688.0000000000005</v>
      </c>
      <c r="D14" s="9">
        <f t="shared" si="1"/>
        <v>3830.400000000001</v>
      </c>
      <c r="E14" s="9">
        <f t="shared" si="2"/>
        <v>0</v>
      </c>
      <c r="F14" s="9">
        <f t="shared" si="3"/>
        <v>0</v>
      </c>
      <c r="G14" s="9">
        <f t="shared" si="4"/>
        <v>6518.4000000000015</v>
      </c>
    </row>
    <row r="15" spans="1:9" x14ac:dyDescent="0.3">
      <c r="A15" s="17"/>
      <c r="B15" s="8">
        <f>EDATE($B$2,13)</f>
        <v>46600</v>
      </c>
      <c r="C15" s="9">
        <f t="shared" si="0"/>
        <v>2688.0000000000005</v>
      </c>
      <c r="D15" s="9">
        <f t="shared" si="1"/>
        <v>0</v>
      </c>
      <c r="E15" s="9">
        <f t="shared" si="2"/>
        <v>0</v>
      </c>
      <c r="F15" s="9">
        <f t="shared" si="3"/>
        <v>0</v>
      </c>
      <c r="G15" s="9">
        <f t="shared" si="4"/>
        <v>2688.0000000000005</v>
      </c>
    </row>
    <row r="16" spans="1:9" x14ac:dyDescent="0.3">
      <c r="A16" s="17"/>
      <c r="B16" s="8">
        <f>EDATE($B$2,14)</f>
        <v>46631</v>
      </c>
      <c r="C16" s="9">
        <f t="shared" si="0"/>
        <v>2688.0000000000005</v>
      </c>
      <c r="D16" s="9">
        <f t="shared" si="1"/>
        <v>0</v>
      </c>
      <c r="E16" s="9">
        <f t="shared" si="2"/>
        <v>0</v>
      </c>
      <c r="F16" s="9">
        <f t="shared" si="3"/>
        <v>0</v>
      </c>
      <c r="G16" s="9">
        <f t="shared" si="4"/>
        <v>2688.0000000000005</v>
      </c>
    </row>
    <row r="17" spans="1:9" x14ac:dyDescent="0.3">
      <c r="A17" s="17"/>
      <c r="B17" s="8">
        <f>EDATE($B$2,15)</f>
        <v>46661</v>
      </c>
      <c r="C17" s="9">
        <f t="shared" si="0"/>
        <v>2688.0000000000005</v>
      </c>
      <c r="D17" s="9">
        <f t="shared" si="1"/>
        <v>0</v>
      </c>
      <c r="E17" s="9">
        <f t="shared" si="2"/>
        <v>0</v>
      </c>
      <c r="F17" s="9">
        <f t="shared" si="3"/>
        <v>0</v>
      </c>
      <c r="G17" s="9">
        <f t="shared" si="4"/>
        <v>2688.0000000000005</v>
      </c>
    </row>
    <row r="18" spans="1:9" x14ac:dyDescent="0.3">
      <c r="A18" s="17"/>
      <c r="B18" s="8">
        <f>EDATE($B$2,16)</f>
        <v>46692</v>
      </c>
      <c r="C18" s="9">
        <f t="shared" si="0"/>
        <v>2688.0000000000005</v>
      </c>
      <c r="D18" s="9">
        <f t="shared" si="1"/>
        <v>0</v>
      </c>
      <c r="E18" s="9">
        <f t="shared" si="2"/>
        <v>0</v>
      </c>
      <c r="F18" s="9">
        <f t="shared" si="3"/>
        <v>0</v>
      </c>
      <c r="G18" s="9">
        <f t="shared" si="4"/>
        <v>2688.0000000000005</v>
      </c>
    </row>
    <row r="19" spans="1:9" x14ac:dyDescent="0.3">
      <c r="A19" s="17"/>
      <c r="B19" s="8">
        <f>EDATE($B$2,17)</f>
        <v>46722</v>
      </c>
      <c r="C19" s="9">
        <f t="shared" si="0"/>
        <v>2688.0000000000005</v>
      </c>
      <c r="D19" s="9">
        <f t="shared" si="1"/>
        <v>0</v>
      </c>
      <c r="E19" s="9">
        <f t="shared" si="2"/>
        <v>0</v>
      </c>
      <c r="F19" s="9">
        <f t="shared" si="3"/>
        <v>0</v>
      </c>
      <c r="G19" s="9">
        <f t="shared" si="4"/>
        <v>2688.0000000000005</v>
      </c>
    </row>
    <row r="20" spans="1:9" x14ac:dyDescent="0.3">
      <c r="A20" s="17"/>
      <c r="B20" s="8">
        <f>EDATE($B$2,18)</f>
        <v>46753</v>
      </c>
      <c r="C20" s="9">
        <f t="shared" si="0"/>
        <v>2876.1600000000003</v>
      </c>
      <c r="D20" s="9">
        <f t="shared" si="1"/>
        <v>0</v>
      </c>
      <c r="E20" s="9">
        <f t="shared" si="2"/>
        <v>3451.3920000000007</v>
      </c>
      <c r="F20" s="9">
        <f t="shared" si="3"/>
        <v>0</v>
      </c>
      <c r="G20" s="9">
        <f t="shared" si="4"/>
        <v>6327.5520000000015</v>
      </c>
      <c r="I20" s="14" t="s">
        <v>25</v>
      </c>
    </row>
    <row r="21" spans="1:9" x14ac:dyDescent="0.3">
      <c r="A21" s="17"/>
      <c r="B21" s="8">
        <f>EDATE($B$2,19)</f>
        <v>46784</v>
      </c>
      <c r="C21" s="9">
        <f t="shared" si="0"/>
        <v>2876.1600000000003</v>
      </c>
      <c r="D21" s="9">
        <f t="shared" si="1"/>
        <v>3830.400000000001</v>
      </c>
      <c r="E21" s="9">
        <f t="shared" si="2"/>
        <v>0</v>
      </c>
      <c r="F21" s="9">
        <f t="shared" si="3"/>
        <v>0</v>
      </c>
      <c r="G21" s="9">
        <f t="shared" si="4"/>
        <v>6706.5600000000013</v>
      </c>
      <c r="I21" s="16">
        <f>SUM(G20:G23)</f>
        <v>18786.432000000004</v>
      </c>
    </row>
    <row r="22" spans="1:9" x14ac:dyDescent="0.3">
      <c r="A22" s="17"/>
      <c r="B22" s="8">
        <f>EDATE($B$2,20)</f>
        <v>46813</v>
      </c>
      <c r="C22" s="9">
        <f t="shared" si="0"/>
        <v>2876.1600000000003</v>
      </c>
      <c r="D22" s="9">
        <f t="shared" si="1"/>
        <v>0</v>
      </c>
      <c r="E22" s="9">
        <f t="shared" si="2"/>
        <v>0</v>
      </c>
      <c r="F22" s="9">
        <f t="shared" si="3"/>
        <v>0</v>
      </c>
      <c r="G22" s="9">
        <f t="shared" si="4"/>
        <v>2876.1600000000003</v>
      </c>
    </row>
    <row r="23" spans="1:9" x14ac:dyDescent="0.3">
      <c r="A23" s="17"/>
      <c r="B23" s="8">
        <f>EDATE($B$2,21)</f>
        <v>46844</v>
      </c>
      <c r="C23" s="9">
        <f t="shared" si="0"/>
        <v>2876.1600000000003</v>
      </c>
      <c r="D23" s="9">
        <f t="shared" si="1"/>
        <v>0</v>
      </c>
      <c r="E23" s="9">
        <f t="shared" si="2"/>
        <v>0</v>
      </c>
      <c r="F23" s="9">
        <f t="shared" si="3"/>
        <v>0</v>
      </c>
      <c r="G23" s="9">
        <f t="shared" si="4"/>
        <v>2876.1600000000003</v>
      </c>
    </row>
  </sheetData>
  <mergeCells count="2">
    <mergeCell ref="A2:A7"/>
    <mergeCell ref="A8:A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Inputs</vt:lpstr>
      <vt:lpstr>Monthly Schedule</vt:lpstr>
      <vt:lpstr>Join_Date</vt:lpstr>
      <vt:lpstr>Junior_Annual_Salary</vt:lpstr>
      <vt:lpstr>Junior_Bonus_Months</vt:lpstr>
      <vt:lpstr>Promotion_Pct_Jan2027</vt:lpstr>
      <vt:lpstr>Raise_Pct_Jan2027</vt:lpstr>
      <vt:lpstr>Raise_Pct_Jan2028</vt:lpstr>
      <vt:lpstr>Retention_Pct</vt:lpstr>
      <vt:lpstr>Schedule_End_Month</vt:lpstr>
      <vt:lpstr>Schedule_Start_Month</vt:lpstr>
      <vt:lpstr>Senior_Bonus_Months</vt:lpstr>
      <vt:lpstr>SignOn_Bonus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2026-04-28T09:16:29Z</dcterms:created>
  <dcterms:modified xsi:type="dcterms:W3CDTF">2026-04-28T13:35:46Z</dcterms:modified>
  <cp:category/>
  <cp:contentStatus/>
</cp:coreProperties>
</file>